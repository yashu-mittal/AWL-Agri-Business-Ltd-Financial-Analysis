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yashm\Downloads\New folder\"/>
    </mc:Choice>
  </mc:AlternateContent>
  <xr:revisionPtr revIDLastSave="0" documentId="13_ncr:1_{665962C7-95ED-44D3-BE03-A56AFB56FB4D}" xr6:coauthVersionLast="47" xr6:coauthVersionMax="47" xr10:uidLastSave="{00000000-0000-0000-0000-000000000000}"/>
  <bookViews>
    <workbookView xWindow="-108" yWindow="-108" windowWidth="23256" windowHeight="12456" tabRatio="500" firstSheet="6" activeTab="9" xr2:uid="{00000000-000D-0000-FFFF-FFFF00000000}"/>
  </bookViews>
  <sheets>
    <sheet name="Cover" sheetId="1" r:id="rId1"/>
    <sheet name="Income Statement" sheetId="2" r:id="rId2"/>
    <sheet name="Balance Sheet" sheetId="3" r:id="rId3"/>
    <sheet name="Cash Flow Statement" sheetId="4" r:id="rId4"/>
    <sheet name="Common Size Analysis" sheetId="5" r:id="rId5"/>
    <sheet name="Comparative Analysis" sheetId="6" r:id="rId6"/>
    <sheet name="Ratio Analysis" sheetId="7" r:id="rId7"/>
    <sheet name="Trend Analysis" sheetId="8" r:id="rId8"/>
    <sheet name="Key Indicators" sheetId="9" r:id="rId9"/>
    <sheet name="Notes"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4" i="7" l="1"/>
  <c r="C32" i="3"/>
  <c r="C20" i="9"/>
  <c r="G24" i="8"/>
  <c r="H21" i="7"/>
  <c r="G21" i="7"/>
  <c r="F21" i="7"/>
  <c r="E21" i="7"/>
  <c r="D19" i="7"/>
  <c r="D18" i="7"/>
  <c r="D17" i="7"/>
  <c r="D16" i="7"/>
  <c r="I26" i="6"/>
  <c r="C9" i="6"/>
  <c r="H9" i="6" s="1"/>
  <c r="I9" i="6"/>
  <c r="D19" i="9" l="1"/>
  <c r="G17" i="9"/>
  <c r="F17" i="9"/>
  <c r="E17" i="9"/>
  <c r="D17" i="9"/>
  <c r="C17" i="9"/>
  <c r="C16" i="9"/>
  <c r="G15" i="9"/>
  <c r="F15" i="9"/>
  <c r="E15" i="9"/>
  <c r="D15" i="9"/>
  <c r="C15" i="9"/>
  <c r="G11" i="9"/>
  <c r="F11" i="9"/>
  <c r="E11" i="9"/>
  <c r="D11" i="9"/>
  <c r="C11" i="9"/>
  <c r="B7" i="9"/>
  <c r="F24" i="8"/>
  <c r="E24" i="8"/>
  <c r="D24" i="8"/>
  <c r="C24" i="8"/>
  <c r="G21" i="8"/>
  <c r="F21" i="8"/>
  <c r="E21" i="8"/>
  <c r="D21" i="8"/>
  <c r="C21" i="8"/>
  <c r="G20" i="8"/>
  <c r="F20" i="8"/>
  <c r="E20" i="8"/>
  <c r="D20" i="8"/>
  <c r="C20" i="8"/>
  <c r="G18" i="8"/>
  <c r="F18" i="8"/>
  <c r="E18" i="8"/>
  <c r="D18" i="8"/>
  <c r="C18" i="8"/>
  <c r="G9" i="8"/>
  <c r="F9" i="8"/>
  <c r="E9" i="8"/>
  <c r="D9" i="8"/>
  <c r="C9" i="8"/>
  <c r="D39" i="7"/>
  <c r="H33" i="7"/>
  <c r="G33" i="7"/>
  <c r="F33" i="7"/>
  <c r="E33" i="7"/>
  <c r="D33" i="7"/>
  <c r="H32" i="7"/>
  <c r="G32" i="7"/>
  <c r="F32" i="7"/>
  <c r="E32" i="7"/>
  <c r="D32" i="7"/>
  <c r="G24" i="7"/>
  <c r="D11" i="7"/>
  <c r="E10" i="7"/>
  <c r="D10" i="7"/>
  <c r="G26" i="6"/>
  <c r="K26" i="6" s="1"/>
  <c r="F26" i="6"/>
  <c r="J26" i="6" s="1"/>
  <c r="E26" i="6"/>
  <c r="D26" i="6"/>
  <c r="C26" i="6"/>
  <c r="H26" i="6" s="1"/>
  <c r="G25" i="6"/>
  <c r="K25" i="6" s="1"/>
  <c r="F25" i="6"/>
  <c r="J25" i="6" s="1"/>
  <c r="E25" i="6"/>
  <c r="D25" i="6"/>
  <c r="C25" i="6"/>
  <c r="G22" i="6"/>
  <c r="K22" i="6" s="1"/>
  <c r="F22" i="6"/>
  <c r="E22" i="6"/>
  <c r="D22" i="6"/>
  <c r="C22" i="6"/>
  <c r="G21" i="6"/>
  <c r="F21" i="6"/>
  <c r="E21" i="6"/>
  <c r="D21" i="6"/>
  <c r="C21" i="6"/>
  <c r="H19" i="6"/>
  <c r="G19" i="6"/>
  <c r="F19" i="6"/>
  <c r="J19" i="6" s="1"/>
  <c r="E19" i="6"/>
  <c r="I19" i="6" s="1"/>
  <c r="D19" i="6"/>
  <c r="C19" i="6"/>
  <c r="G10" i="6"/>
  <c r="F10" i="6"/>
  <c r="E10" i="6"/>
  <c r="G9" i="6"/>
  <c r="F9" i="6"/>
  <c r="J9" i="6" s="1"/>
  <c r="E9" i="6"/>
  <c r="D9" i="6"/>
  <c r="G27" i="5"/>
  <c r="G22" i="5"/>
  <c r="F22" i="5"/>
  <c r="C22" i="5"/>
  <c r="G19" i="5"/>
  <c r="G17" i="5"/>
  <c r="C15" i="5"/>
  <c r="G14" i="5"/>
  <c r="F14" i="5"/>
  <c r="C14" i="5"/>
  <c r="C13" i="5"/>
  <c r="G11" i="5"/>
  <c r="F11" i="5"/>
  <c r="E11" i="5"/>
  <c r="G10" i="5"/>
  <c r="C10" i="5"/>
  <c r="G9" i="5"/>
  <c r="F41" i="3"/>
  <c r="G39" i="3"/>
  <c r="F39" i="3"/>
  <c r="E39" i="3"/>
  <c r="D39" i="3"/>
  <c r="E9" i="7" s="1"/>
  <c r="C39" i="3"/>
  <c r="G32" i="3"/>
  <c r="G41" i="3" s="1"/>
  <c r="G38" i="5" s="1"/>
  <c r="F32" i="3"/>
  <c r="E32" i="3"/>
  <c r="D32" i="3"/>
  <c r="G24" i="3"/>
  <c r="F24" i="3"/>
  <c r="E24" i="3"/>
  <c r="D24" i="3"/>
  <c r="E11" i="7" s="1"/>
  <c r="C24" i="3"/>
  <c r="G18" i="3"/>
  <c r="F18" i="3"/>
  <c r="E18" i="3"/>
  <c r="D18" i="3"/>
  <c r="C18" i="3"/>
  <c r="G13" i="3"/>
  <c r="G18" i="6" s="1"/>
  <c r="F13" i="3"/>
  <c r="F17" i="8" s="1"/>
  <c r="E13" i="3"/>
  <c r="E17" i="8" s="1"/>
  <c r="D13" i="3"/>
  <c r="C13" i="3"/>
  <c r="C17" i="8" s="1"/>
  <c r="C21" i="2"/>
  <c r="G19" i="2"/>
  <c r="G15" i="5" s="1"/>
  <c r="F19" i="2"/>
  <c r="E19" i="2"/>
  <c r="E15" i="5" s="1"/>
  <c r="D19" i="2"/>
  <c r="C19" i="2"/>
  <c r="C10" i="6" s="1"/>
  <c r="G11" i="2"/>
  <c r="H31" i="7" s="1"/>
  <c r="F11" i="2"/>
  <c r="E11" i="2"/>
  <c r="D11" i="2"/>
  <c r="E15" i="7" s="1"/>
  <c r="C11" i="2"/>
  <c r="D35" i="7" s="1"/>
  <c r="G13" i="4"/>
  <c r="F13" i="4"/>
  <c r="E13" i="4"/>
  <c r="D13" i="4"/>
  <c r="C13" i="4"/>
  <c r="H21" i="6" l="1"/>
  <c r="H22" i="6"/>
  <c r="K10" i="6"/>
  <c r="F27" i="5"/>
  <c r="F39" i="5"/>
  <c r="G27" i="7"/>
  <c r="F37" i="5"/>
  <c r="G25" i="7"/>
  <c r="F31" i="5"/>
  <c r="F11" i="7"/>
  <c r="F9" i="7"/>
  <c r="F10" i="7"/>
  <c r="K19" i="6"/>
  <c r="E35" i="7"/>
  <c r="E22" i="5"/>
  <c r="E14" i="5"/>
  <c r="F31" i="7"/>
  <c r="F34" i="7" s="1"/>
  <c r="E20" i="9" s="1"/>
  <c r="E17" i="5"/>
  <c r="E9" i="5"/>
  <c r="E20" i="5"/>
  <c r="E10" i="5"/>
  <c r="E21" i="2"/>
  <c r="C11" i="6"/>
  <c r="C16" i="5"/>
  <c r="C22" i="2"/>
  <c r="C10" i="8"/>
  <c r="C25" i="2"/>
  <c r="G33" i="5"/>
  <c r="F42" i="3"/>
  <c r="E19" i="5"/>
  <c r="F38" i="5"/>
  <c r="I25" i="6"/>
  <c r="H25" i="6"/>
  <c r="F35" i="7"/>
  <c r="F36" i="5"/>
  <c r="F33" i="5"/>
  <c r="G32" i="5"/>
  <c r="F17" i="5"/>
  <c r="F9" i="5"/>
  <c r="G31" i="7"/>
  <c r="G34" i="7" s="1"/>
  <c r="F20" i="9" s="1"/>
  <c r="F20" i="5"/>
  <c r="F12" i="5"/>
  <c r="F10" i="5"/>
  <c r="F21" i="2"/>
  <c r="G35" i="7"/>
  <c r="G15" i="7"/>
  <c r="F13" i="5"/>
  <c r="D21" i="2"/>
  <c r="E26" i="3"/>
  <c r="F12" i="7"/>
  <c r="D9" i="5"/>
  <c r="E12" i="5"/>
  <c r="F15" i="5"/>
  <c r="F19" i="5"/>
  <c r="F29" i="5"/>
  <c r="K9" i="6"/>
  <c r="G11" i="7"/>
  <c r="G39" i="5"/>
  <c r="H27" i="7"/>
  <c r="G37" i="5"/>
  <c r="G31" i="5"/>
  <c r="H30" i="7"/>
  <c r="H25" i="7"/>
  <c r="G35" i="5"/>
  <c r="G26" i="5"/>
  <c r="I21" i="6"/>
  <c r="D12" i="7"/>
  <c r="D9" i="7"/>
  <c r="H34" i="7"/>
  <c r="G20" i="9" s="1"/>
  <c r="G21" i="2"/>
  <c r="F30" i="5"/>
  <c r="G9" i="7"/>
  <c r="G12" i="7"/>
  <c r="F19" i="9"/>
  <c r="G10" i="7"/>
  <c r="F40" i="5"/>
  <c r="G29" i="5"/>
  <c r="F20" i="6"/>
  <c r="H11" i="7"/>
  <c r="F32" i="5"/>
  <c r="D17" i="8"/>
  <c r="D18" i="6"/>
  <c r="D26" i="3"/>
  <c r="E39" i="7"/>
  <c r="E24" i="7"/>
  <c r="D16" i="9"/>
  <c r="G30" i="5"/>
  <c r="D41" i="3"/>
  <c r="D33" i="5" s="1"/>
  <c r="H9" i="7"/>
  <c r="F7" i="9"/>
  <c r="H12" i="7"/>
  <c r="G19" i="9"/>
  <c r="H10" i="7"/>
  <c r="G40" i="5"/>
  <c r="D13" i="5"/>
  <c r="F35" i="5"/>
  <c r="G20" i="6"/>
  <c r="J22" i="6"/>
  <c r="I22" i="6"/>
  <c r="C19" i="9"/>
  <c r="F19" i="8"/>
  <c r="G26" i="3"/>
  <c r="G42" i="3" s="1"/>
  <c r="H39" i="7"/>
  <c r="H24" i="7"/>
  <c r="G16" i="9"/>
  <c r="G28" i="5"/>
  <c r="G17" i="8"/>
  <c r="D19" i="5"/>
  <c r="D11" i="5"/>
  <c r="D17" i="5"/>
  <c r="D22" i="5"/>
  <c r="D14" i="5"/>
  <c r="E31" i="7"/>
  <c r="E34" i="7" s="1"/>
  <c r="D20" i="9" s="1"/>
  <c r="D20" i="5"/>
  <c r="D12" i="5"/>
  <c r="K21" i="6"/>
  <c r="J21" i="6"/>
  <c r="C16" i="4"/>
  <c r="D10" i="6"/>
  <c r="H10" i="6" s="1"/>
  <c r="D15" i="5"/>
  <c r="E36" i="5"/>
  <c r="E41" i="3"/>
  <c r="C41" i="3"/>
  <c r="D10" i="5"/>
  <c r="E13" i="5"/>
  <c r="F26" i="5"/>
  <c r="G36" i="5"/>
  <c r="J10" i="6"/>
  <c r="F15" i="7"/>
  <c r="G30" i="7"/>
  <c r="E19" i="9"/>
  <c r="C26" i="3"/>
  <c r="C12" i="5"/>
  <c r="C20" i="5"/>
  <c r="E12" i="7"/>
  <c r="H15" i="7"/>
  <c r="D31" i="7"/>
  <c r="H35" i="7"/>
  <c r="F39" i="7"/>
  <c r="E16" i="9"/>
  <c r="C9" i="5"/>
  <c r="G13" i="5"/>
  <c r="C17" i="5"/>
  <c r="F28" i="5"/>
  <c r="C18" i="6"/>
  <c r="F24" i="7"/>
  <c r="G39" i="7"/>
  <c r="F16" i="9"/>
  <c r="F26" i="3"/>
  <c r="C11" i="5"/>
  <c r="C19" i="5"/>
  <c r="E18" i="6"/>
  <c r="D30" i="7"/>
  <c r="G12" i="5"/>
  <c r="G20" i="5"/>
  <c r="F18" i="6"/>
  <c r="D15" i="7"/>
  <c r="C30" i="5" l="1"/>
  <c r="D20" i="7"/>
  <c r="D21" i="7"/>
  <c r="G19" i="8"/>
  <c r="D34" i="7"/>
  <c r="I18" i="6"/>
  <c r="E32" i="5"/>
  <c r="E30" i="5"/>
  <c r="E27" i="5"/>
  <c r="E39" i="5"/>
  <c r="F27" i="7"/>
  <c r="E37" i="5"/>
  <c r="E19" i="8"/>
  <c r="E40" i="5"/>
  <c r="E31" i="5"/>
  <c r="E26" i="5"/>
  <c r="E42" i="3"/>
  <c r="E35" i="5"/>
  <c r="E20" i="6"/>
  <c r="I20" i="6" s="1"/>
  <c r="F25" i="7"/>
  <c r="E29" i="5"/>
  <c r="E38" i="5"/>
  <c r="F30" i="7"/>
  <c r="C36" i="5"/>
  <c r="D26" i="7"/>
  <c r="C13" i="9"/>
  <c r="C28" i="2"/>
  <c r="C12" i="6"/>
  <c r="C18" i="5"/>
  <c r="C11" i="8"/>
  <c r="G16" i="7"/>
  <c r="F10" i="8"/>
  <c r="F25" i="2"/>
  <c r="F16" i="5"/>
  <c r="F22" i="2"/>
  <c r="F16" i="4"/>
  <c r="F11" i="6"/>
  <c r="D36" i="5"/>
  <c r="E30" i="7"/>
  <c r="D30" i="5"/>
  <c r="C40" i="5"/>
  <c r="D22" i="2"/>
  <c r="E16" i="7"/>
  <c r="D10" i="8"/>
  <c r="D25" i="2"/>
  <c r="D16" i="4"/>
  <c r="D16" i="5"/>
  <c r="D11" i="6"/>
  <c r="H11" i="6" s="1"/>
  <c r="D25" i="7"/>
  <c r="C35" i="5"/>
  <c r="C26" i="5"/>
  <c r="C42" i="3"/>
  <c r="C19" i="8"/>
  <c r="C20" i="6"/>
  <c r="C38" i="5"/>
  <c r="C29" i="5"/>
  <c r="C32" i="5"/>
  <c r="C27" i="5"/>
  <c r="C39" i="5"/>
  <c r="C31" i="5"/>
  <c r="D27" i="7"/>
  <c r="C28" i="5"/>
  <c r="C37" i="5"/>
  <c r="C33" i="5"/>
  <c r="G10" i="8"/>
  <c r="G25" i="2"/>
  <c r="G16" i="4"/>
  <c r="G11" i="6"/>
  <c r="K11" i="6" s="1"/>
  <c r="G16" i="5"/>
  <c r="G22" i="2"/>
  <c r="H16" i="7"/>
  <c r="F16" i="7"/>
  <c r="E10" i="8"/>
  <c r="E16" i="4"/>
  <c r="E16" i="5"/>
  <c r="E22" i="2"/>
  <c r="E25" i="2"/>
  <c r="E11" i="6"/>
  <c r="I11" i="6" s="1"/>
  <c r="E33" i="5"/>
  <c r="D19" i="8"/>
  <c r="D20" i="6"/>
  <c r="D38" i="5"/>
  <c r="D29" i="5"/>
  <c r="D27" i="5"/>
  <c r="D32" i="5"/>
  <c r="D39" i="5"/>
  <c r="E27" i="7"/>
  <c r="D31" i="5"/>
  <c r="E25" i="7"/>
  <c r="D40" i="5"/>
  <c r="D28" i="5"/>
  <c r="D42" i="3"/>
  <c r="D26" i="5"/>
  <c r="D35" i="5"/>
  <c r="D37" i="5"/>
  <c r="E28" i="5"/>
  <c r="K20" i="6"/>
  <c r="J18" i="6"/>
  <c r="I10" i="6"/>
  <c r="H18" i="6"/>
  <c r="K18" i="6"/>
  <c r="F26" i="7" l="1"/>
  <c r="E13" i="9"/>
  <c r="E11" i="8"/>
  <c r="F17" i="7"/>
  <c r="E18" i="5"/>
  <c r="E12" i="6"/>
  <c r="I12" i="6" s="1"/>
  <c r="E28" i="2"/>
  <c r="G26" i="7"/>
  <c r="F13" i="9"/>
  <c r="G17" i="7"/>
  <c r="F18" i="5"/>
  <c r="F11" i="8"/>
  <c r="F12" i="6"/>
  <c r="F28" i="2"/>
  <c r="E26" i="7"/>
  <c r="E17" i="7"/>
  <c r="D13" i="9"/>
  <c r="D12" i="6"/>
  <c r="H12" i="6" s="1"/>
  <c r="D11" i="8"/>
  <c r="D28" i="2"/>
  <c r="D18" i="5"/>
  <c r="C12" i="8"/>
  <c r="C21" i="5"/>
  <c r="C31" i="2"/>
  <c r="C13" i="6"/>
  <c r="J11" i="6"/>
  <c r="J20" i="6"/>
  <c r="G13" i="9"/>
  <c r="H17" i="7"/>
  <c r="G18" i="5"/>
  <c r="D7" i="9"/>
  <c r="G11" i="8"/>
  <c r="G12" i="6"/>
  <c r="G28" i="2"/>
  <c r="H26" i="7"/>
  <c r="H20" i="6"/>
  <c r="J12" i="6" l="1"/>
  <c r="C14" i="9"/>
  <c r="C35" i="2"/>
  <c r="C12" i="9"/>
  <c r="C13" i="8"/>
  <c r="C18" i="9"/>
  <c r="C32" i="2"/>
  <c r="C14" i="6"/>
  <c r="C23" i="5"/>
  <c r="D12" i="8"/>
  <c r="D31" i="2"/>
  <c r="D21" i="5"/>
  <c r="D13" i="6"/>
  <c r="H13" i="6" s="1"/>
  <c r="E12" i="8"/>
  <c r="E31" i="2"/>
  <c r="E13" i="6"/>
  <c r="E21" i="5"/>
  <c r="F13" i="6"/>
  <c r="J13" i="6" s="1"/>
  <c r="F21" i="5"/>
  <c r="F31" i="2"/>
  <c r="F12" i="8"/>
  <c r="G13" i="6"/>
  <c r="G21" i="5"/>
  <c r="G31" i="2"/>
  <c r="G12" i="8"/>
  <c r="K12" i="6"/>
  <c r="K13" i="6" l="1"/>
  <c r="E18" i="7"/>
  <c r="D12" i="9"/>
  <c r="D18" i="9"/>
  <c r="E19" i="7"/>
  <c r="D13" i="8"/>
  <c r="D14" i="6"/>
  <c r="H14" i="6" s="1"/>
  <c r="D23" i="5"/>
  <c r="D32" i="2"/>
  <c r="D35" i="2"/>
  <c r="D14" i="9"/>
  <c r="E20" i="7"/>
  <c r="C14" i="8"/>
  <c r="D38" i="7"/>
  <c r="C15" i="6"/>
  <c r="F13" i="8"/>
  <c r="F14" i="6"/>
  <c r="F18" i="9"/>
  <c r="G19" i="7"/>
  <c r="F23" i="5"/>
  <c r="G20" i="7"/>
  <c r="F14" i="9"/>
  <c r="F12" i="9"/>
  <c r="F35" i="2"/>
  <c r="F32" i="2"/>
  <c r="G18" i="7"/>
  <c r="G18" i="9"/>
  <c r="H19" i="7"/>
  <c r="E7" i="9"/>
  <c r="G13" i="8"/>
  <c r="G14" i="6"/>
  <c r="G23" i="5"/>
  <c r="G32" i="2"/>
  <c r="H20" i="7"/>
  <c r="H18" i="7"/>
  <c r="G14" i="9"/>
  <c r="C7" i="9"/>
  <c r="G35" i="2"/>
  <c r="G12" i="9"/>
  <c r="I13" i="6"/>
  <c r="E12" i="9"/>
  <c r="E18" i="9"/>
  <c r="F19" i="7"/>
  <c r="E13" i="8"/>
  <c r="E14" i="6"/>
  <c r="E23" i="5"/>
  <c r="E32" i="2"/>
  <c r="F20" i="7"/>
  <c r="E35" i="2"/>
  <c r="E14" i="9"/>
  <c r="F18" i="7"/>
  <c r="J14" i="6" l="1"/>
  <c r="G7" i="9"/>
  <c r="G15" i="6"/>
  <c r="G14" i="8"/>
  <c r="H38" i="7"/>
  <c r="G38" i="7"/>
  <c r="F15" i="6"/>
  <c r="J15" i="6" s="1"/>
  <c r="F14" i="8"/>
  <c r="I14" i="6"/>
  <c r="F38" i="7"/>
  <c r="E15" i="6"/>
  <c r="E14" i="8"/>
  <c r="K14" i="6"/>
  <c r="E38" i="7"/>
  <c r="D15" i="6"/>
  <c r="H15" i="6" s="1"/>
  <c r="D14" i="8"/>
  <c r="K15" i="6" l="1"/>
  <c r="I15" i="6"/>
</calcChain>
</file>

<file path=xl/sharedStrings.xml><?xml version="1.0" encoding="utf-8"?>
<sst xmlns="http://schemas.openxmlformats.org/spreadsheetml/2006/main" count="368" uniqueCount="260">
  <si>
    <t>Financial Statement Analysis Workbook</t>
  </si>
  <si>
    <t>COMPANY &amp; WORKBOOK INFORMATION</t>
  </si>
  <si>
    <t>Company Name</t>
  </si>
  <si>
    <t>Stock Exchange</t>
  </si>
  <si>
    <t>NSE: AWL  |  BSE: 543458</t>
  </si>
  <si>
    <t>Sector / Industry</t>
  </si>
  <si>
    <t>FMCG - Agricultural Food &amp; Other Products</t>
  </si>
  <si>
    <t>Headquarters</t>
  </si>
  <si>
    <t>Ahmedabad, Gujarat, India</t>
  </si>
  <si>
    <t>Reporting Currency</t>
  </si>
  <si>
    <t>Indian Rupees (Rs.), in Crores</t>
  </si>
  <si>
    <t>Financial Statements Basis</t>
  </si>
  <si>
    <t>Consolidated</t>
  </si>
  <si>
    <t>Period Covered</t>
  </si>
  <si>
    <t>FY2021-22 to FY2025-26 (5 Financial Years)</t>
  </si>
  <si>
    <t>Workbook Prepared On</t>
  </si>
  <si>
    <t>Prepared By</t>
  </si>
  <si>
    <t>TABLE OF CONTENTS</t>
  </si>
  <si>
    <t>1</t>
  </si>
  <si>
    <t>Cover</t>
  </si>
  <si>
    <t>Company overview &amp; workbook guide</t>
  </si>
  <si>
    <t>2</t>
  </si>
  <si>
    <t>Income Statement</t>
  </si>
  <si>
    <t>5-year Statement of Profit &amp; Loss</t>
  </si>
  <si>
    <t>3</t>
  </si>
  <si>
    <t>Balance Sheet</t>
  </si>
  <si>
    <t>5-year Statement of Assets &amp; Liabilities</t>
  </si>
  <si>
    <t>4</t>
  </si>
  <si>
    <t>Cash Flow Statement</t>
  </si>
  <si>
    <t>5-year Operating / Investing / Financing cash flows</t>
  </si>
  <si>
    <t>5</t>
  </si>
  <si>
    <t>Common Size Analysis</t>
  </si>
  <si>
    <t>Vertical (% of revenue / % of total assets) analysis</t>
  </si>
  <si>
    <t>6</t>
  </si>
  <si>
    <t>Comparative Analysis</t>
  </si>
  <si>
    <t>Year-on-year horizontal movement, Rs. &amp; %</t>
  </si>
  <si>
    <t>7</t>
  </si>
  <si>
    <t>Ratio Analysis</t>
  </si>
  <si>
    <t>Liquidity, profitability, leverage &amp; efficiency ratios</t>
  </si>
  <si>
    <t>8</t>
  </si>
  <si>
    <t>Trend Analysis</t>
  </si>
  <si>
    <t>Indexed trend of key line items (base year = 100)</t>
  </si>
  <si>
    <t>9</t>
  </si>
  <si>
    <t>Charts &amp; Dashboard</t>
  </si>
  <si>
    <t>Visual KPI dashboard</t>
  </si>
  <si>
    <t>10</t>
  </si>
  <si>
    <t>Notes</t>
  </si>
  <si>
    <t>Assumptions, sources &amp; definitions</t>
  </si>
  <si>
    <t xml:space="preserve"> STATEMENT OF PROFIT &amp; LOSS (CONSOLIDATED)</t>
  </si>
  <si>
    <t>Rs. in Crores, unless otherwise stated</t>
  </si>
  <si>
    <t>Particulars</t>
  </si>
  <si>
    <t>FY2021-22</t>
  </si>
  <si>
    <t>FY2022-23</t>
  </si>
  <si>
    <t>FY2023-24</t>
  </si>
  <si>
    <t>FY2024-25</t>
  </si>
  <si>
    <t>FY2025-26</t>
  </si>
  <si>
    <t>As At</t>
  </si>
  <si>
    <t>31-Mar-22</t>
  </si>
  <si>
    <t>31-Mar-23</t>
  </si>
  <si>
    <t>31-Mar-24</t>
  </si>
  <si>
    <t>31-Mar-25</t>
  </si>
  <si>
    <t>31-Mar-26</t>
  </si>
  <si>
    <t>Revenue</t>
  </si>
  <si>
    <t>Revenue from Operations (Net Sales)</t>
  </si>
  <si>
    <t>Total Income (Revenue from Operations)</t>
  </si>
  <si>
    <t>Expenses</t>
  </si>
  <si>
    <t>Cost of Materials Consumed</t>
  </si>
  <si>
    <t>Purchases of Stock-in-Trade</t>
  </si>
  <si>
    <t>Changes in Inventories</t>
  </si>
  <si>
    <t>Employee Benefit Expense</t>
  </si>
  <si>
    <t>Other Expenses</t>
  </si>
  <si>
    <t>Total Expenses</t>
  </si>
  <si>
    <t>Operating Profit (EBITDA before Other Income)</t>
  </si>
  <si>
    <t xml:space="preserve">  Operating Profit Margin (%)</t>
  </si>
  <si>
    <t>Add: Other Income</t>
  </si>
  <si>
    <t>EBITDA</t>
  </si>
  <si>
    <t>Less: Finance Costs (Interest)</t>
  </si>
  <si>
    <t>Less: Depreciation &amp; Amortisation</t>
  </si>
  <si>
    <t>Profit Before Tax (PBT)</t>
  </si>
  <si>
    <t>Less: Tax Expense</t>
  </si>
  <si>
    <t>NET PROFIT AFTER TAX (PAT)</t>
  </si>
  <si>
    <t xml:space="preserve">  Net Profit Margin (%)</t>
  </si>
  <si>
    <t>Weighted Avg. Shares Outstanding (Crore)</t>
  </si>
  <si>
    <t>Basic Earnings Per Share (Rs.)</t>
  </si>
  <si>
    <t>Source: Consolidated Financial Statements / Annual Reports</t>
  </si>
  <si>
    <t>BALANCE SHEET (CONSOLIDATED)</t>
  </si>
  <si>
    <t>Rs. in Crores, as at year end</t>
  </si>
  <si>
    <t>EQUITY &amp; LIABILITIES</t>
  </si>
  <si>
    <t>Shareholders' Funds</t>
  </si>
  <si>
    <t>Equity Share Capital</t>
  </si>
  <si>
    <t>Reserves &amp; Surplus</t>
  </si>
  <si>
    <t>Total Shareholders' Equity (Net Worth)</t>
  </si>
  <si>
    <t>Non-Current Liabilities</t>
  </si>
  <si>
    <t>Long-Term Borrowings</t>
  </si>
  <si>
    <t>Other Non-Current Liabilities</t>
  </si>
  <si>
    <t>Total Non-Current Liabilities</t>
  </si>
  <si>
    <t>Current Liabilities</t>
  </si>
  <si>
    <t>Short-Term Borrowings</t>
  </si>
  <si>
    <t>Trade Payables</t>
  </si>
  <si>
    <t>Other Current Liabilities &amp; Provisions</t>
  </si>
  <si>
    <t>Total Current Liabilities</t>
  </si>
  <si>
    <t>TOTAL EQUITY &amp; LIABILITIES</t>
  </si>
  <si>
    <t>ASSETS</t>
  </si>
  <si>
    <t>Non-Current Assets</t>
  </si>
  <si>
    <t>Property, Plant &amp; Equipment</t>
  </si>
  <si>
    <t>Other Non-Current Assets</t>
  </si>
  <si>
    <t>Total Current Assets</t>
  </si>
  <si>
    <t>Inventories</t>
  </si>
  <si>
    <t>Trade Receivables</t>
  </si>
  <si>
    <t>Cash &amp; Cash Equivalents</t>
  </si>
  <si>
    <t>Other Current Assets</t>
  </si>
  <si>
    <t>TOTAL ASSETS</t>
  </si>
  <si>
    <t>Balance Check (Total Assets − Total Equity &amp; Liabilities)</t>
  </si>
  <si>
    <t>CASH FLOW STATEMENT (CONSOLIDATED)</t>
  </si>
  <si>
    <t>Rs. in Crores</t>
  </si>
  <si>
    <t>Year Ended</t>
  </si>
  <si>
    <t>Net Cash Flow from Operating Activities</t>
  </si>
  <si>
    <t>Net Cash Flow from Investing Activities</t>
  </si>
  <si>
    <t>Net Cash Flow from Financing Activities</t>
  </si>
  <si>
    <t>Net Increase / (Decrease) in Cash</t>
  </si>
  <si>
    <t>Free Cash Flow (CFO less Capex)</t>
  </si>
  <si>
    <t xml:space="preserve">  CFO / Operating Profit (%)</t>
  </si>
  <si>
    <t>Source: Consolidated Financial Statements, AWL Agri Business Limited (FY22-26)</t>
  </si>
  <si>
    <t>Income Statement items as % of Total Revenue; Balance Sheet items as % of Total Assets</t>
  </si>
  <si>
    <t>INCOME STATEMENT — % of Total Revenue</t>
  </si>
  <si>
    <t>Revenue from Operations</t>
  </si>
  <si>
    <t>Operating Profit</t>
  </si>
  <si>
    <t>Other Income</t>
  </si>
  <si>
    <t>Finance Costs</t>
  </si>
  <si>
    <t>Depreciation &amp; Amortisation</t>
  </si>
  <si>
    <t>Profit Before Tax</t>
  </si>
  <si>
    <t>Tax Expense</t>
  </si>
  <si>
    <t>Net Profit After Tax</t>
  </si>
  <si>
    <t>BALANCE SHEET — % of Total Assets</t>
  </si>
  <si>
    <t>Total Shareholders' Equity</t>
  </si>
  <si>
    <t>Total Non-Current Assets</t>
  </si>
  <si>
    <t>Rs. in Crores | Year-on-year change shown for each consecutive pair of years</t>
  </si>
  <si>
    <t>INCOME STATEMENT</t>
  </si>
  <si>
    <t>Basic EPS (Rs.)</t>
  </si>
  <si>
    <t>BALANCE SHEET</t>
  </si>
  <si>
    <t>Total Borrowings (LT + ST)</t>
  </si>
  <si>
    <t>Total Assets</t>
  </si>
  <si>
    <t>CASH FLOW</t>
  </si>
  <si>
    <t>Cash Flow from Operations</t>
  </si>
  <si>
    <t>Free Cash Flow</t>
  </si>
  <si>
    <t>Liquidity, Profitability, Leverage, Efficiency &amp; Market Ratios</t>
  </si>
  <si>
    <t>Ratio</t>
  </si>
  <si>
    <t>A. LIQUIDITY RATIOS</t>
  </si>
  <si>
    <t>B. PROFITABILITY RATIOS</t>
  </si>
  <si>
    <t>Operating Profit Margin</t>
  </si>
  <si>
    <t>EBITDA Margin</t>
  </si>
  <si>
    <t>Net Profit Margin</t>
  </si>
  <si>
    <t>Return on Equity (ROE)</t>
  </si>
  <si>
    <t>Return on Assets (ROA)</t>
  </si>
  <si>
    <t>C. LEVERAGE / SOLVENCY RATIOS</t>
  </si>
  <si>
    <t>Debt-to-Total-Assets</t>
  </si>
  <si>
    <t>D. EFFICIENCY / ACTIVITY RATIOS</t>
  </si>
  <si>
    <t>E. MARKET / PER-SHARE RATIOS</t>
  </si>
  <si>
    <t>INCOME STATEMENT TRENDS</t>
  </si>
  <si>
    <t>Basic EPS</t>
  </si>
  <si>
    <t>BALANCE SHEET TRENDS</t>
  </si>
  <si>
    <t>CASH FLOW TRENDS</t>
  </si>
  <si>
    <t>Net Profit (FY26)</t>
  </si>
  <si>
    <t>EBITDA Margin (FY26)</t>
  </si>
  <si>
    <t>Current Ratio (FY26)</t>
  </si>
  <si>
    <t>Basic EPS (FY26)</t>
  </si>
  <si>
    <t>Chart Data Reference</t>
  </si>
  <si>
    <t>Year</t>
  </si>
  <si>
    <t>Net Profit</t>
  </si>
  <si>
    <t>Net Profit Margin %</t>
  </si>
  <si>
    <t>Total Borrowings</t>
  </si>
  <si>
    <t>Shareholders' Equity</t>
  </si>
  <si>
    <t>Cash Flow from Ops</t>
  </si>
  <si>
    <t>Return on Equity %</t>
  </si>
  <si>
    <t>Current Ratio</t>
  </si>
  <si>
    <t>Cash Conversion Cycle (Days)</t>
  </si>
  <si>
    <t>Topic</t>
  </si>
  <si>
    <t>Detail</t>
  </si>
  <si>
    <t>Company</t>
  </si>
  <si>
    <t>AWL Agri Business Ltd was formerly known as Adani Wilmar Ltd. The Adani Group exited the joint venture in FY24; the company was renamed 'AWL Agri Business Ltd' following a shareholder vote. NSE: AWL, BSE: 543458, ISIN: INE699H01024.</t>
  </si>
  <si>
    <t>Basis of Preparation</t>
  </si>
  <si>
    <t>All figures are Consolidated financial statements, presented in Rs. Crores, for the five financial years FY2021-22 through FY2025-26 (Indian fiscal year ending 31 March).</t>
  </si>
  <si>
    <t>Scope of This Workbook</t>
  </si>
  <si>
    <t>Balance Sheet Row Label Note</t>
  </si>
  <si>
    <t>Liquidity Ratios</t>
  </si>
  <si>
    <t>Because the Balance Sheet tab now separates Current Liabilities (Short-Term Borrowings, Trade Payables, Other Current Liabilities &amp; Provisions) from Current Assets (Inventories, Trade Receivables, Cash &amp; Equivalents, Other Current Assets), Current Ratio, Quick Ratio and Cash Ratio are computed directly by formula on the Ratio Analysis tab rather than estimated.</t>
  </si>
  <si>
    <t>Cash Conversion Cycle</t>
  </si>
  <si>
    <t>Debtor Days, Inventory Days, Payable Days and the resulting Cash Conversion Cycle are now computed by formula (using average-free, year-end balances, per standard convention) rather than hardcoded, since the Balance Sheet tab provides Trade Receivables, Inventories and Trade Payables as discrete line items. COGS is proxied as Cost of Materials Consumed + Purchases of Stock-in-Trade + Changes in Inventories, per the Income Statement tab's expense breakup.</t>
  </si>
  <si>
    <t>Wherever 'Total Borrowings' is used (Debt-to-Equity, Debt-to-Assets, Comparative &amp; Trend Analysis, Dashboard), it is computed as Long-Term Borrowings + Short-Term Borrowings from the Balance Sheet tab.</t>
  </si>
  <si>
    <t>Effective Tax Rate</t>
  </si>
  <si>
    <t>Tax Expense is taken directly from the Income Statement tab as disclosed for each year; it reflects the company's blended effective tax rate, not the Indian statutory corporate tax rate.</t>
  </si>
  <si>
    <t>Reported as disclosed on the Cash Flow Statement tab (CFO less capital expenditure, as originally compiled) rather than re-derived, since a clean capex sub-line is not separately broken out from other investing cash flows.</t>
  </si>
  <si>
    <t>Common Size Analysis Basis</t>
  </si>
  <si>
    <t>Income Statement items are expressed as % of Total Revenue (Revenue from Operations). Balance Sheet items are expressed as % of Total Assets.</t>
  </si>
  <si>
    <t>Comparative / Trend Analysis</t>
  </si>
  <si>
    <t>Comparative Analysis shows year-on-year Rs. and % change for consecutive year-pairs. Trend Analysis indexes each series to the earliest year shown (FY2021-22 = 100) to visualize cumulative growth or decline over the period.</t>
  </si>
  <si>
    <t>Color Convention Used</t>
  </si>
  <si>
    <t>Blue text = hardcoded input sourced from filings (on the Income Statement / Balance Sheet / Cash Flow Statement tabs). Green text = link/formula pulling from another worksheet. Black text = formula computed within the same worksheet. This lets a reviewer quickly identify raw data vs. calculated figures.</t>
  </si>
  <si>
    <t>Data Accuracy Disclaimer</t>
  </si>
  <si>
    <t>Figures on the source statement tabs were compiled from public company filings / financial-data aggregators and have not been independently re-verified against the company's original signed Annual Report for this update. Users should cross-check against the official Annual Report (available at www.awl.in) before relying on this workbook for investment, credit, or reporting decisions.</t>
  </si>
  <si>
    <t>COMMON SIZE (VERTICAL) ANALYSIS</t>
  </si>
  <si>
    <t>Note: Ratios/analyses on this sheet are formula-linked to the Income Statement, Balance Sheet and Cash Flow Statement tabs.</t>
  </si>
  <si>
    <t>COMPARATIVE (HORIZONTAL / YoY) ANALYSIS</t>
  </si>
  <si>
    <t>Positive percentages indicate growth over the prior year; negative percentages (shown in brackets) indicate a decline.</t>
  </si>
  <si>
    <t>RATIO ANALYSIS</t>
  </si>
  <si>
    <t>Formula</t>
  </si>
  <si>
    <t xml:space="preserve">Quick Ratio </t>
  </si>
  <si>
    <t xml:space="preserve">Cash Ratio </t>
  </si>
  <si>
    <t>Current Assets/ Current Liabilities</t>
  </si>
  <si>
    <t>Working Capital (Rs In Crore)</t>
  </si>
  <si>
    <t>Gross Profit Margin</t>
  </si>
  <si>
    <t xml:space="preserve">Debt-to-Equity Ratio </t>
  </si>
  <si>
    <t>Total Borrowings / Net Worth</t>
  </si>
  <si>
    <t>Interest Coverage Ratio</t>
  </si>
  <si>
    <t>EBITDA / Interest</t>
  </si>
  <si>
    <t xml:space="preserve">Equity Multiplier </t>
  </si>
  <si>
    <t>Total Assets / Net Worth</t>
  </si>
  <si>
    <t>Current Assets - Current Liabilities</t>
  </si>
  <si>
    <t>Cash &amp; Equivalents / Current Liabilities</t>
  </si>
  <si>
    <t>(Curr. Assets − Inventories) / Current Liabilities</t>
  </si>
  <si>
    <t>Asset Turnover Ratio</t>
  </si>
  <si>
    <t>DIO + DSO - DPO</t>
  </si>
  <si>
    <t>Days Sales Outstanding (DSO)</t>
  </si>
  <si>
    <t>Days Inventory Outstanding (DIO)</t>
  </si>
  <si>
    <t>Days Payables Outstanding (DPO)</t>
  </si>
  <si>
    <t>Total Revenue / Total Assets</t>
  </si>
  <si>
    <t>Average Receivables / Total Revenue × 365</t>
  </si>
  <si>
    <t>Average Inventories / COGS × 365</t>
  </si>
  <si>
    <t>Average Trade Payables / COGS × 365</t>
  </si>
  <si>
    <t>Book Value per Share (Rs.)</t>
  </si>
  <si>
    <t>Net Worth / Shares Outstanding</t>
  </si>
  <si>
    <t>(Revenue − COGS) / Revenue</t>
  </si>
  <si>
    <t>Operating Profit / Total Operating Revenue</t>
  </si>
  <si>
    <t>EBITDA / Total Operating Revenue</t>
  </si>
  <si>
    <t>Profit After Tax / Total Operating Revenue</t>
  </si>
  <si>
    <t>Profit After Tax / Total Shareholder's Equity</t>
  </si>
  <si>
    <t>Profit After Tax / Total Assets</t>
  </si>
  <si>
    <t>Return on Capital Employed (ROCE)</t>
  </si>
  <si>
    <t>Operating Profit / (Total Assets - Current Liabilities)</t>
  </si>
  <si>
    <t>Total Debt / Total Assets</t>
  </si>
  <si>
    <t>Fixed Asset Turnover</t>
  </si>
  <si>
    <t>Revenue / PP&amp;E</t>
  </si>
  <si>
    <t>Base Year: FY2021-22 = 100</t>
  </si>
  <si>
    <t>All series are re-based so that the value in the base year (FY2021-22) equals 100; subsequent years show cumulative growth/decline relative to that base.</t>
  </si>
  <si>
    <t>NOTES, ASSUMPTIONS &amp; SOURCES</t>
  </si>
  <si>
    <t>TREND ANALYSIS</t>
  </si>
  <si>
    <t>AWL AGRIBUSINESS LIMITED</t>
  </si>
  <si>
    <t>On the Balance Sheet tab, the subtotal at row 32 is labeled 'Total Current Assets' but its formula (=PP&amp;E + Other Non-Current Assets) actually computes Total Non-Current Assets; the true Total Current Assets subtotal is at row 39 (Inventories + Trade Receivables + Cash + Other Current Assets). All formulas in this workbook's analytical tabs reference the correct underlying figures by formula logic, not by the row label, so results are accurate but you may want to correct the row-32 label on the Balance Sheet tab for clarity.</t>
  </si>
  <si>
    <t>FY22-FY23
(% Chg )</t>
  </si>
  <si>
    <t>FY23-FY24
(% Chg )</t>
  </si>
  <si>
    <t>FY24-FY25
(% Chg )</t>
  </si>
  <si>
    <t>FY25-FY26
(% Chg )</t>
  </si>
  <si>
    <t>Yashu Mittal, MBA (2024-26) ABV-IIITM, Gwalior</t>
  </si>
  <si>
    <t>AWL Agri Business Limited (formerly Adani Wilmar Ltd)</t>
  </si>
  <si>
    <t>The Income Statement, Balance Sheet, and Cash Flow Statement tabs (and the Cover tab) contain the underlying figures and were prepared/finalised separately. This workbook adds the six analytical tabs Common Size Analysis, Comparative Analysis, Ratio Analysis, Trend Analysis, Charts &amp; Dashboard, and these Notes all built as live formulas linked to those three source statements. No cell on the Income Statement, Balance Sheet, or Cash Flow Statement tabs was modified.</t>
  </si>
  <si>
    <t>ROE 
(FY26)</t>
  </si>
  <si>
    <t>Revenue 
(FY26)</t>
  </si>
  <si>
    <t>Current Assets</t>
  </si>
  <si>
    <t>Key Indicators</t>
  </si>
  <si>
    <t>FY: FY2021-22 – FY2025-26 | Rs. in Crores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</si>
</sst>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x"/>
    <numFmt numFmtId="167" formatCode="#,##0&quot; days&quot;"/>
    <numFmt numFmtId="168" formatCode="0.0"/>
  </numFmts>
  <fonts count="32" x14ac:knownFonts="1">
    <font>
      <sz val="11"/>
      <color theme="1"/>
      <name val="Calibri"/>
      <family val="2"/>
      <charset val="1"/>
    </font>
    <font>
      <sz val="11"/>
      <color theme="4" tint="-0.499984740745262"/>
      <name val="Calibri"/>
      <family val="2"/>
      <charset val="1"/>
    </font>
    <font>
      <i/>
      <sz val="14"/>
      <color theme="4" tint="-0.499984740745262"/>
      <name val="Arial"/>
      <family val="2"/>
      <charset val="1"/>
    </font>
    <font>
      <b/>
      <sz val="12"/>
      <color rgb="FFFFFFFF"/>
      <name val="Arial"/>
      <family val="2"/>
      <charset val="1"/>
    </font>
    <font>
      <b/>
      <sz val="10"/>
      <color rgb="FF000000"/>
      <name val="Arial"/>
      <family val="2"/>
      <charset val="1"/>
    </font>
    <font>
      <sz val="10"/>
      <color rgb="FF000000"/>
      <name val="Arial"/>
      <family val="2"/>
      <charset val="1"/>
    </font>
    <font>
      <b/>
      <u/>
      <sz val="10"/>
      <color rgb="FF2E5395"/>
      <name val="Arial"/>
      <family val="2"/>
      <charset val="1"/>
    </font>
    <font>
      <b/>
      <sz val="16"/>
      <color rgb="FFFFFFFF"/>
      <name val="Arial"/>
      <family val="2"/>
      <charset val="1"/>
    </font>
    <font>
      <i/>
      <sz val="10"/>
      <color rgb="FF595959"/>
      <name val="Arial"/>
      <family val="2"/>
      <charset val="1"/>
    </font>
    <font>
      <i/>
      <sz val="9"/>
      <name val="Arial"/>
      <family val="2"/>
      <charset val="1"/>
    </font>
    <font>
      <b/>
      <sz val="11"/>
      <color rgb="FFFFFFFF"/>
      <name val="Arial"/>
      <family val="2"/>
      <charset val="1"/>
    </font>
    <font>
      <sz val="10"/>
      <color rgb="FF0000FF"/>
      <name val="Arial"/>
      <family val="2"/>
      <charset val="1"/>
    </font>
    <font>
      <i/>
      <sz val="9"/>
      <color rgb="FF595959"/>
      <name val="Arial"/>
      <family val="2"/>
      <charset val="1"/>
    </font>
    <font>
      <b/>
      <i/>
      <sz val="9"/>
      <color rgb="FF595959"/>
      <name val="Arial"/>
      <family val="2"/>
      <charset val="1"/>
    </font>
    <font>
      <b/>
      <i/>
      <sz val="10"/>
      <name val="Arial"/>
      <family val="2"/>
      <charset val="1"/>
    </font>
    <font>
      <sz val="10"/>
      <name val="Arial"/>
      <family val="2"/>
      <charset val="1"/>
    </font>
    <font>
      <b/>
      <sz val="16"/>
      <color rgb="FFFFFFFF"/>
      <name val="Arial"/>
      <family val="2"/>
    </font>
    <font>
      <i/>
      <sz val="10"/>
      <color rgb="FF595959"/>
      <name val="Arial"/>
      <family val="2"/>
    </font>
    <font>
      <b/>
      <sz val="12"/>
      <color rgb="FFFFFFFF"/>
      <name val="Arial"/>
      <family val="2"/>
    </font>
    <font>
      <b/>
      <sz val="11"/>
      <color rgb="FFFFFFFF"/>
      <name val="Arial"/>
      <family val="2"/>
    </font>
    <font>
      <sz val="10"/>
      <color rgb="FF000000"/>
      <name val="Arial"/>
      <family val="2"/>
    </font>
    <font>
      <b/>
      <sz val="10"/>
      <color rgb="FF000000"/>
      <name val="Arial"/>
      <family val="2"/>
    </font>
    <font>
      <i/>
      <sz val="9"/>
      <color rgb="FF595959"/>
      <name val="Arial"/>
      <family val="2"/>
    </font>
    <font>
      <sz val="10"/>
      <color rgb="FF008000"/>
      <name val="Arial"/>
      <family val="2"/>
    </font>
    <font>
      <b/>
      <sz val="10"/>
      <color rgb="FF008000"/>
      <name val="Arial"/>
      <family val="2"/>
    </font>
    <font>
      <b/>
      <sz val="14"/>
      <color rgb="FF2E5395"/>
      <name val="Arial"/>
      <family val="2"/>
    </font>
    <font>
      <b/>
      <sz val="9"/>
      <name val="Arial"/>
      <family val="2"/>
    </font>
    <font>
      <b/>
      <sz val="10"/>
      <name val="Arial"/>
      <family val="2"/>
    </font>
    <font>
      <b/>
      <i/>
      <sz val="9"/>
      <color rgb="FF595959"/>
      <name val="Arial"/>
      <family val="2"/>
    </font>
    <font>
      <i/>
      <sz val="9"/>
      <color theme="1" tint="0.249977111117893"/>
      <name val="Calibri"/>
      <family val="2"/>
    </font>
    <font>
      <b/>
      <sz val="14"/>
      <color rgb="FFFFFFFF"/>
      <name val="Arial"/>
      <family val="2"/>
    </font>
    <font>
      <b/>
      <sz val="28"/>
      <color theme="4" tint="-0.499984740745262"/>
      <name val="Calibri"/>
      <family val="2"/>
    </font>
  </fonts>
  <fills count="9">
    <fill>
      <patternFill patternType="none"/>
    </fill>
    <fill>
      <patternFill patternType="gray125"/>
    </fill>
    <fill>
      <patternFill patternType="solid">
        <fgColor theme="0"/>
        <bgColor rgb="FFF2F2F2"/>
      </patternFill>
    </fill>
    <fill>
      <patternFill patternType="solid">
        <fgColor rgb="FF2E5395"/>
        <bgColor rgb="FF254061"/>
      </patternFill>
    </fill>
    <fill>
      <patternFill patternType="solid">
        <fgColor rgb="FFF2F2F2"/>
        <bgColor rgb="FFFFFFFF"/>
      </patternFill>
    </fill>
    <fill>
      <patternFill patternType="solid">
        <fgColor rgb="FF1F3864"/>
        <bgColor rgb="FF254061"/>
      </patternFill>
    </fill>
    <fill>
      <patternFill patternType="solid">
        <fgColor rgb="FFDCE6F1"/>
        <bgColor rgb="FFD9D9D9"/>
      </patternFill>
    </fill>
    <fill>
      <patternFill patternType="solid">
        <fgColor rgb="FFD9D9D9"/>
        <bgColor rgb="FFDCE6F1"/>
      </patternFill>
    </fill>
    <fill>
      <patternFill patternType="solid">
        <fgColor rgb="FFFFF2CC"/>
        <bgColor rgb="FFF2F2F2"/>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auto="1"/>
      </top>
      <bottom/>
      <diagonal/>
    </border>
  </borders>
  <cellStyleXfs count="1">
    <xf numFmtId="0" fontId="0" fillId="0" borderId="0"/>
  </cellStyleXfs>
  <cellXfs count="94">
    <xf numFmtId="0" fontId="0" fillId="0" borderId="0" xfId="0"/>
    <xf numFmtId="0" fontId="1" fillId="2" borderId="0" xfId="0" applyFont="1" applyFill="1"/>
    <xf numFmtId="0" fontId="4" fillId="4" borderId="1" xfId="0" applyFont="1" applyFill="1" applyBorder="1"/>
    <xf numFmtId="0" fontId="5" fillId="0" borderId="1" xfId="0" applyFont="1" applyBorder="1" applyAlignment="1">
      <alignment horizontal="center" vertical="center"/>
    </xf>
    <xf numFmtId="0" fontId="6" fillId="0" borderId="1" xfId="0" applyFont="1" applyBorder="1" applyAlignment="1">
      <alignment horizontal="left" vertical="center"/>
    </xf>
    <xf numFmtId="0" fontId="3" fillId="3" borderId="1" xfId="0" applyFont="1" applyFill="1" applyBorder="1" applyAlignment="1">
      <alignment horizontal="center" vertical="center"/>
    </xf>
    <xf numFmtId="0" fontId="9" fillId="6" borderId="1" xfId="0" applyFont="1" applyFill="1" applyBorder="1" applyAlignment="1">
      <alignment horizontal="center" vertical="center"/>
    </xf>
    <xf numFmtId="0" fontId="0" fillId="0" borderId="0" xfId="0" applyAlignment="1">
      <alignment horizontal="center"/>
    </xf>
    <xf numFmtId="0" fontId="10" fillId="3" borderId="0" xfId="0" applyFont="1" applyFill="1" applyAlignment="1">
      <alignment horizontal="left" vertical="center"/>
    </xf>
    <xf numFmtId="0" fontId="0" fillId="3" borderId="0" xfId="0" applyFill="1" applyAlignment="1">
      <alignment horizontal="center"/>
    </xf>
    <xf numFmtId="0" fontId="5" fillId="0" borderId="0" xfId="0" applyFont="1" applyAlignment="1">
      <alignment horizontal="left" vertical="center"/>
    </xf>
    <xf numFmtId="164" fontId="11" fillId="0" borderId="0" xfId="0" applyNumberFormat="1" applyFont="1" applyAlignment="1">
      <alignment horizontal="center" vertical="center"/>
    </xf>
    <xf numFmtId="0" fontId="4" fillId="0" borderId="0" xfId="0" applyFont="1" applyAlignment="1">
      <alignment horizontal="left" vertical="center"/>
    </xf>
    <xf numFmtId="164" fontId="4" fillId="0" borderId="3" xfId="0" applyNumberFormat="1" applyFont="1" applyBorder="1" applyAlignment="1">
      <alignment horizontal="center" vertical="center"/>
    </xf>
    <xf numFmtId="0" fontId="4" fillId="7" borderId="0" xfId="0" applyFont="1" applyFill="1" applyAlignment="1">
      <alignment horizontal="left" vertical="center"/>
    </xf>
    <xf numFmtId="164" fontId="4" fillId="7" borderId="3" xfId="0" applyNumberFormat="1" applyFont="1" applyFill="1" applyBorder="1" applyAlignment="1">
      <alignment horizontal="center" vertical="center"/>
    </xf>
    <xf numFmtId="0" fontId="8" fillId="0" borderId="0" xfId="0" applyFont="1" applyAlignment="1">
      <alignment horizontal="left" vertical="center" indent="1"/>
    </xf>
    <xf numFmtId="165" fontId="8" fillId="0" borderId="0" xfId="0" applyNumberFormat="1" applyFont="1" applyAlignment="1">
      <alignment horizontal="center" vertical="center"/>
    </xf>
    <xf numFmtId="0" fontId="12" fillId="0" borderId="0" xfId="0" applyFont="1" applyAlignment="1">
      <alignment horizontal="left" vertical="center" indent="1"/>
    </xf>
    <xf numFmtId="165" fontId="12" fillId="0" borderId="0" xfId="0" applyNumberFormat="1" applyFont="1" applyAlignment="1">
      <alignment horizontal="center" vertical="center"/>
    </xf>
    <xf numFmtId="0" fontId="4" fillId="2" borderId="0" xfId="0" applyFont="1" applyFill="1" applyAlignment="1">
      <alignment horizontal="left" vertical="center"/>
    </xf>
    <xf numFmtId="164" fontId="4" fillId="2" borderId="0" xfId="0" applyNumberFormat="1" applyFont="1" applyFill="1" applyAlignment="1">
      <alignment horizontal="center" vertical="center"/>
    </xf>
    <xf numFmtId="164" fontId="5" fillId="0" borderId="0" xfId="0" applyNumberFormat="1" applyFont="1" applyAlignment="1">
      <alignment horizontal="center" vertical="center"/>
    </xf>
    <xf numFmtId="0" fontId="10" fillId="5" borderId="0" xfId="0" applyFont="1" applyFill="1" applyAlignment="1">
      <alignment horizontal="left" vertical="center"/>
    </xf>
    <xf numFmtId="164" fontId="10" fillId="5" borderId="0" xfId="0" applyNumberFormat="1" applyFont="1" applyFill="1" applyAlignment="1">
      <alignment horizontal="center" vertical="center"/>
    </xf>
    <xf numFmtId="4" fontId="11" fillId="0" borderId="0" xfId="0" applyNumberFormat="1" applyFont="1" applyAlignment="1">
      <alignment horizontal="center" vertical="center"/>
    </xf>
    <xf numFmtId="2" fontId="4" fillId="0" borderId="3" xfId="0" applyNumberFormat="1" applyFont="1" applyBorder="1" applyAlignment="1">
      <alignment horizontal="center" vertical="center"/>
    </xf>
    <xf numFmtId="0" fontId="13" fillId="0" borderId="0" xfId="0" applyFont="1" applyAlignment="1">
      <alignment vertical="top" wrapText="1"/>
    </xf>
    <xf numFmtId="0" fontId="14" fillId="0" borderId="0" xfId="0" applyFont="1" applyAlignment="1">
      <alignment horizontal="left" vertical="center"/>
    </xf>
    <xf numFmtId="0" fontId="11" fillId="0" borderId="0" xfId="0" applyFont="1" applyAlignment="1">
      <alignment horizontal="center" vertical="center"/>
    </xf>
    <xf numFmtId="0" fontId="15" fillId="0" borderId="0" xfId="0" applyFont="1" applyAlignment="1">
      <alignment horizontal="left" vertical="center"/>
    </xf>
    <xf numFmtId="0" fontId="8" fillId="0" borderId="0" xfId="0" applyFont="1" applyAlignment="1">
      <alignment horizontal="left" vertical="center" wrapText="1"/>
    </xf>
    <xf numFmtId="164" fontId="8" fillId="0" borderId="0" xfId="0" applyNumberFormat="1" applyFont="1" applyAlignment="1">
      <alignment horizontal="right" vertical="center"/>
    </xf>
    <xf numFmtId="164" fontId="11" fillId="0" borderId="0" xfId="0" applyNumberFormat="1" applyFont="1" applyAlignment="1">
      <alignment horizontal="right" vertical="center"/>
    </xf>
    <xf numFmtId="164" fontId="4" fillId="7" borderId="3" xfId="0" applyNumberFormat="1" applyFont="1" applyFill="1" applyBorder="1" applyAlignment="1">
      <alignment horizontal="right" vertical="center"/>
    </xf>
    <xf numFmtId="164" fontId="11" fillId="0" borderId="3" xfId="0" applyNumberFormat="1" applyFont="1" applyBorder="1" applyAlignment="1">
      <alignment horizontal="right" vertical="center"/>
    </xf>
    <xf numFmtId="165" fontId="12" fillId="0" borderId="0" xfId="0" applyNumberFormat="1" applyFont="1" applyAlignment="1">
      <alignment horizontal="right" vertical="center"/>
    </xf>
    <xf numFmtId="0" fontId="18" fillId="3" borderId="1" xfId="0" applyFont="1" applyFill="1" applyBorder="1" applyAlignment="1">
      <alignment horizontal="center" vertical="center"/>
    </xf>
    <xf numFmtId="0" fontId="19" fillId="3" borderId="0" xfId="0" applyFont="1" applyFill="1" applyAlignment="1">
      <alignment horizontal="left" vertical="center"/>
    </xf>
    <xf numFmtId="0" fontId="0" fillId="3" borderId="0" xfId="0" applyFill="1"/>
    <xf numFmtId="0" fontId="20" fillId="0" borderId="0" xfId="0" applyFont="1" applyAlignment="1">
      <alignment horizontal="left" vertical="center"/>
    </xf>
    <xf numFmtId="165" fontId="20" fillId="0" borderId="0" xfId="0" applyNumberFormat="1" applyFont="1" applyAlignment="1">
      <alignment horizontal="right" vertical="center"/>
    </xf>
    <xf numFmtId="0" fontId="21" fillId="0" borderId="0" xfId="0" applyFont="1" applyAlignment="1">
      <alignment horizontal="left" vertical="center"/>
    </xf>
    <xf numFmtId="165" fontId="21" fillId="0" borderId="0" xfId="0" applyNumberFormat="1" applyFont="1" applyAlignment="1">
      <alignment horizontal="right" vertical="center"/>
    </xf>
    <xf numFmtId="168" fontId="21" fillId="0" borderId="0" xfId="0" applyNumberFormat="1" applyFont="1" applyAlignment="1">
      <alignment horizontal="right" vertical="center"/>
    </xf>
    <xf numFmtId="168" fontId="20" fillId="0" borderId="0" xfId="0" applyNumberFormat="1" applyFont="1" applyAlignment="1">
      <alignment horizontal="right" vertical="center"/>
    </xf>
    <xf numFmtId="164" fontId="25" fillId="8" borderId="0" xfId="0" applyNumberFormat="1" applyFont="1" applyFill="1" applyAlignment="1">
      <alignment horizontal="center" vertical="center"/>
    </xf>
    <xf numFmtId="165" fontId="25" fillId="8" borderId="0" xfId="0" applyNumberFormat="1" applyFont="1" applyFill="1" applyAlignment="1">
      <alignment horizontal="center" vertical="center"/>
    </xf>
    <xf numFmtId="166" fontId="25" fillId="8" borderId="0" xfId="0" applyNumberFormat="1" applyFont="1" applyFill="1" applyAlignment="1">
      <alignment horizontal="center" vertical="center"/>
    </xf>
    <xf numFmtId="2" fontId="25" fillId="8" borderId="0" xfId="0" applyNumberFormat="1" applyFont="1" applyFill="1" applyAlignment="1">
      <alignment horizontal="center" vertical="center"/>
    </xf>
    <xf numFmtId="0" fontId="26" fillId="6" borderId="1" xfId="0" applyFont="1" applyFill="1" applyBorder="1" applyAlignment="1">
      <alignment horizontal="center" vertical="center"/>
    </xf>
    <xf numFmtId="0" fontId="18" fillId="3" borderId="0" xfId="0" applyFont="1" applyFill="1" applyAlignment="1">
      <alignment horizontal="left" vertical="center"/>
    </xf>
    <xf numFmtId="0" fontId="22" fillId="0" borderId="0" xfId="0" applyFont="1" applyAlignment="1">
      <alignment horizontal="left" vertical="center"/>
    </xf>
    <xf numFmtId="0" fontId="0" fillId="0" borderId="0" xfId="0" applyAlignment="1">
      <alignment vertical="center"/>
    </xf>
    <xf numFmtId="0" fontId="29" fillId="0" borderId="0" xfId="0" applyFont="1" applyAlignment="1">
      <alignment vertical="center"/>
    </xf>
    <xf numFmtId="0" fontId="18" fillId="3" borderId="1" xfId="0" applyFont="1" applyFill="1" applyBorder="1" applyAlignment="1">
      <alignment horizontal="center" vertical="center" wrapText="1"/>
    </xf>
    <xf numFmtId="164" fontId="23" fillId="0" borderId="0" xfId="0" applyNumberFormat="1" applyFont="1" applyAlignment="1">
      <alignment horizontal="center" vertical="center"/>
    </xf>
    <xf numFmtId="165" fontId="20" fillId="0" borderId="0" xfId="0" applyNumberFormat="1" applyFont="1" applyAlignment="1">
      <alignment horizontal="center" vertical="center"/>
    </xf>
    <xf numFmtId="164" fontId="24" fillId="0" borderId="0" xfId="0" applyNumberFormat="1" applyFont="1" applyAlignment="1">
      <alignment horizontal="center" vertical="center"/>
    </xf>
    <xf numFmtId="165" fontId="21" fillId="0" borderId="0" xfId="0" applyNumberFormat="1" applyFont="1" applyAlignment="1">
      <alignment horizontal="center" vertical="center"/>
    </xf>
    <xf numFmtId="2" fontId="23" fillId="0" borderId="0" xfId="0" applyNumberFormat="1" applyFont="1" applyAlignment="1">
      <alignment horizontal="center" vertical="center"/>
    </xf>
    <xf numFmtId="166" fontId="20" fillId="0" borderId="0" xfId="0" applyNumberFormat="1" applyFont="1" applyAlignment="1">
      <alignment horizontal="center" vertical="center"/>
    </xf>
    <xf numFmtId="164" fontId="20" fillId="0" borderId="0" xfId="0" applyNumberFormat="1" applyFont="1" applyAlignment="1">
      <alignment horizontal="center" vertical="center"/>
    </xf>
    <xf numFmtId="167" fontId="20" fillId="0" borderId="0" xfId="0" applyNumberFormat="1" applyFont="1" applyAlignment="1">
      <alignment horizontal="center" vertical="center"/>
    </xf>
    <xf numFmtId="167" fontId="21" fillId="0" borderId="3" xfId="0" applyNumberFormat="1" applyFont="1" applyBorder="1" applyAlignment="1">
      <alignment horizontal="center" vertical="center"/>
    </xf>
    <xf numFmtId="2" fontId="20" fillId="0" borderId="0" xfId="0" applyNumberFormat="1" applyFont="1" applyAlignment="1">
      <alignment horizontal="center" vertical="center"/>
    </xf>
    <xf numFmtId="165" fontId="23" fillId="0" borderId="0" xfId="0" applyNumberFormat="1" applyFont="1" applyAlignment="1">
      <alignment horizontal="center" vertical="center"/>
    </xf>
    <xf numFmtId="166" fontId="23" fillId="0" borderId="0" xfId="0" applyNumberFormat="1" applyFont="1" applyAlignment="1">
      <alignment horizontal="center" vertical="center"/>
    </xf>
    <xf numFmtId="167" fontId="23" fillId="0" borderId="0" xfId="0" applyNumberFormat="1" applyFont="1" applyAlignment="1">
      <alignment horizontal="center" vertical="center"/>
    </xf>
    <xf numFmtId="0" fontId="19" fillId="5" borderId="0" xfId="0" applyFont="1" applyFill="1" applyAlignment="1">
      <alignment horizontal="center" vertical="center" wrapText="1"/>
    </xf>
    <xf numFmtId="0" fontId="22" fillId="0" borderId="0" xfId="0" applyFont="1" applyAlignment="1">
      <alignment vertical="center" wrapText="1"/>
    </xf>
    <xf numFmtId="0" fontId="27" fillId="4" borderId="1" xfId="0" applyFont="1" applyFill="1" applyBorder="1" applyAlignment="1">
      <alignment horizontal="left" vertical="center" wrapText="1"/>
    </xf>
    <xf numFmtId="0" fontId="20" fillId="0" borderId="1" xfId="0" applyFont="1" applyBorder="1" applyAlignment="1">
      <alignment horizontal="left" vertical="center" wrapText="1"/>
    </xf>
    <xf numFmtId="164" fontId="25" fillId="0" borderId="0" xfId="0" applyNumberFormat="1" applyFont="1" applyAlignment="1">
      <alignment horizontal="center" vertical="center"/>
    </xf>
    <xf numFmtId="165" fontId="25" fillId="0" borderId="0" xfId="0" applyNumberFormat="1" applyFont="1" applyAlignment="1">
      <alignment horizontal="center" vertical="center"/>
    </xf>
    <xf numFmtId="166" fontId="25" fillId="0" borderId="0" xfId="0" applyNumberFormat="1" applyFont="1" applyAlignment="1">
      <alignment horizontal="center" vertical="center"/>
    </xf>
    <xf numFmtId="2" fontId="25" fillId="0" borderId="0" xfId="0" applyNumberFormat="1" applyFont="1" applyAlignment="1">
      <alignment horizontal="center" vertical="center"/>
    </xf>
    <xf numFmtId="0" fontId="16" fillId="5" borderId="0" xfId="0" applyFont="1" applyFill="1" applyAlignment="1">
      <alignment horizontal="center" vertical="center"/>
    </xf>
    <xf numFmtId="0" fontId="17" fillId="0" borderId="0" xfId="0" applyFont="1" applyAlignment="1">
      <alignment horizontal="right" vertical="center"/>
    </xf>
    <xf numFmtId="0" fontId="19" fillId="3" borderId="0" xfId="0" applyFont="1" applyFill="1" applyAlignment="1">
      <alignment horizontal="center" vertical="center"/>
    </xf>
    <xf numFmtId="0" fontId="5" fillId="0" borderId="1" xfId="0" applyFont="1" applyBorder="1" applyAlignment="1">
      <alignment horizontal="left" vertical="center"/>
    </xf>
    <xf numFmtId="14" fontId="5" fillId="0" borderId="2" xfId="0" applyNumberFormat="1" applyFont="1" applyBorder="1" applyAlignment="1">
      <alignment horizontal="left" vertical="center"/>
    </xf>
    <xf numFmtId="0" fontId="5" fillId="0" borderId="2" xfId="0" applyFont="1" applyBorder="1" applyAlignment="1">
      <alignment horizontal="left" vertical="center"/>
    </xf>
    <xf numFmtId="0" fontId="3" fillId="3" borderId="0" xfId="0" applyFont="1" applyFill="1" applyAlignment="1">
      <alignment horizontal="center" vertical="center"/>
    </xf>
    <xf numFmtId="0" fontId="31" fillId="2" borderId="0" xfId="0" applyFont="1" applyFill="1" applyAlignment="1">
      <alignment horizontal="center"/>
    </xf>
    <xf numFmtId="0" fontId="2" fillId="2" borderId="0" xfId="0" applyFont="1" applyFill="1" applyAlignment="1">
      <alignment horizontal="center" vertical="center"/>
    </xf>
    <xf numFmtId="0" fontId="21" fillId="0" borderId="2" xfId="0" applyFont="1" applyBorder="1" applyAlignment="1">
      <alignment horizontal="left" vertical="center"/>
    </xf>
    <xf numFmtId="0" fontId="7" fillId="5" borderId="0" xfId="0" applyFont="1" applyFill="1" applyAlignment="1">
      <alignment horizontal="center" vertical="center"/>
    </xf>
    <xf numFmtId="0" fontId="8" fillId="0" borderId="0" xfId="0" applyFont="1" applyAlignment="1">
      <alignment horizontal="right" vertical="center"/>
    </xf>
    <xf numFmtId="0" fontId="13" fillId="0" borderId="0" xfId="0" applyFont="1" applyAlignment="1">
      <alignment horizontal="left" vertical="top" wrapText="1"/>
    </xf>
    <xf numFmtId="0" fontId="12" fillId="0" borderId="0" xfId="0" applyFont="1" applyAlignment="1">
      <alignment horizontal="left" vertical="top" wrapText="1"/>
    </xf>
    <xf numFmtId="0" fontId="28" fillId="0" borderId="0" xfId="0" applyFont="1" applyAlignment="1">
      <alignment horizontal="left" vertical="top" wrapText="1"/>
    </xf>
    <xf numFmtId="0" fontId="22" fillId="0" borderId="0" xfId="0" applyFont="1" applyAlignment="1">
      <alignment horizontal="left" vertical="top" wrapText="1"/>
    </xf>
    <xf numFmtId="0" fontId="30" fillId="5"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7F7F7F"/>
      <rgbColor rgb="FF9999FF"/>
      <rgbColor rgb="FFC0504D"/>
      <rgbColor rgb="FFFFF2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4F81BD"/>
      <rgbColor rgb="FF33CCCC"/>
      <rgbColor rgb="FF99CC00"/>
      <rgbColor rgb="FFFFCC00"/>
      <rgbColor rgb="FFBF8F00"/>
      <rgbColor rgb="FFFF6600"/>
      <rgbColor rgb="FF595959"/>
      <rgbColor rgb="FFB3B3B3"/>
      <rgbColor rgb="FF1F3864"/>
      <rgbColor rgb="FF339966"/>
      <rgbColor rgb="FF003300"/>
      <rgbColor rgb="FF333300"/>
      <rgbColor rgb="FF993300"/>
      <rgbColor rgb="FF993366"/>
      <rgbColor rgb="FF2E5395"/>
      <rgbColor rgb="FF25406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30420</xdr:colOff>
      <xdr:row>0</xdr:row>
      <xdr:rowOff>167760</xdr:rowOff>
    </xdr:from>
    <xdr:to>
      <xdr:col>5</xdr:col>
      <xdr:colOff>1363500</xdr:colOff>
      <xdr:row>1</xdr:row>
      <xdr:rowOff>249720</xdr:rowOff>
    </xdr:to>
    <xdr:pic>
      <xdr:nvPicPr>
        <xdr:cNvPr id="2" name="Picture 1" descr="AWL Agri Business logo in transparent PNG and vectorized SVG formats">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6339780" y="167760"/>
          <a:ext cx="1333080" cy="5544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G24"/>
  <sheetViews>
    <sheetView showGridLines="0" zoomScaleNormal="100" workbookViewId="0">
      <selection activeCell="I8" sqref="I8"/>
    </sheetView>
  </sheetViews>
  <sheetFormatPr defaultColWidth="8.6640625" defaultRowHeight="14.4" x14ac:dyDescent="0.3"/>
  <cols>
    <col min="1" max="1" width="4" customWidth="1"/>
    <col min="2" max="6" width="22" customWidth="1"/>
    <col min="7" max="7" width="4" customWidth="1"/>
  </cols>
  <sheetData>
    <row r="1" spans="1:7" ht="37.200000000000003" customHeight="1" x14ac:dyDescent="0.7">
      <c r="A1" s="84" t="s">
        <v>246</v>
      </c>
      <c r="B1" s="84"/>
      <c r="C1" s="84"/>
      <c r="D1" s="84"/>
      <c r="E1" s="84"/>
      <c r="F1" s="84"/>
      <c r="G1" s="84"/>
    </row>
    <row r="2" spans="1:7" ht="29.4" customHeight="1" x14ac:dyDescent="0.3">
      <c r="A2" s="1"/>
      <c r="B2" s="85" t="s">
        <v>0</v>
      </c>
      <c r="C2" s="85"/>
      <c r="D2" s="85"/>
      <c r="E2" s="85"/>
      <c r="F2" s="85"/>
      <c r="G2" s="1"/>
    </row>
    <row r="3" spans="1:7" ht="21.75" customHeight="1" x14ac:dyDescent="0.3">
      <c r="B3" s="83" t="s">
        <v>1</v>
      </c>
      <c r="C3" s="83"/>
      <c r="D3" s="83"/>
      <c r="E3" s="83"/>
      <c r="F3" s="83"/>
    </row>
    <row r="4" spans="1:7" ht="18" customHeight="1" x14ac:dyDescent="0.3">
      <c r="B4" s="2" t="s">
        <v>2</v>
      </c>
      <c r="C4" s="86" t="s">
        <v>253</v>
      </c>
      <c r="D4" s="86"/>
      <c r="E4" s="86"/>
      <c r="F4" s="86"/>
    </row>
    <row r="5" spans="1:7" ht="18" customHeight="1" x14ac:dyDescent="0.3">
      <c r="B5" s="2" t="s">
        <v>3</v>
      </c>
      <c r="C5" s="82" t="s">
        <v>4</v>
      </c>
      <c r="D5" s="82"/>
      <c r="E5" s="82"/>
      <c r="F5" s="82"/>
    </row>
    <row r="6" spans="1:7" ht="18" customHeight="1" x14ac:dyDescent="0.3">
      <c r="B6" s="2" t="s">
        <v>5</v>
      </c>
      <c r="C6" s="82" t="s">
        <v>6</v>
      </c>
      <c r="D6" s="82"/>
      <c r="E6" s="82"/>
      <c r="F6" s="82"/>
    </row>
    <row r="7" spans="1:7" ht="18" customHeight="1" x14ac:dyDescent="0.3">
      <c r="B7" s="2" t="s">
        <v>7</v>
      </c>
      <c r="C7" s="82" t="s">
        <v>8</v>
      </c>
      <c r="D7" s="82"/>
      <c r="E7" s="82"/>
      <c r="F7" s="82"/>
    </row>
    <row r="8" spans="1:7" ht="18" customHeight="1" x14ac:dyDescent="0.3">
      <c r="B8" s="2" t="s">
        <v>9</v>
      </c>
      <c r="C8" s="82" t="s">
        <v>10</v>
      </c>
      <c r="D8" s="82"/>
      <c r="E8" s="82"/>
      <c r="F8" s="82"/>
    </row>
    <row r="9" spans="1:7" ht="18" customHeight="1" x14ac:dyDescent="0.3">
      <c r="B9" s="2" t="s">
        <v>11</v>
      </c>
      <c r="C9" s="82" t="s">
        <v>12</v>
      </c>
      <c r="D9" s="82"/>
      <c r="E9" s="82"/>
      <c r="F9" s="82"/>
    </row>
    <row r="10" spans="1:7" ht="18" customHeight="1" x14ac:dyDescent="0.3">
      <c r="B10" s="2" t="s">
        <v>13</v>
      </c>
      <c r="C10" s="82" t="s">
        <v>14</v>
      </c>
      <c r="D10" s="82"/>
      <c r="E10" s="82"/>
      <c r="F10" s="82"/>
    </row>
    <row r="11" spans="1:7" ht="18" customHeight="1" x14ac:dyDescent="0.3">
      <c r="B11" s="2" t="s">
        <v>15</v>
      </c>
      <c r="C11" s="81">
        <v>46208</v>
      </c>
      <c r="D11" s="81"/>
      <c r="E11" s="81"/>
      <c r="F11" s="81"/>
    </row>
    <row r="12" spans="1:7" ht="18" customHeight="1" x14ac:dyDescent="0.3">
      <c r="B12" s="2" t="s">
        <v>16</v>
      </c>
      <c r="C12" s="82" t="s">
        <v>252</v>
      </c>
      <c r="D12" s="82"/>
      <c r="E12" s="82"/>
      <c r="F12" s="82"/>
    </row>
    <row r="14" spans="1:7" ht="21.75" customHeight="1" x14ac:dyDescent="0.3">
      <c r="B14" s="83" t="s">
        <v>17</v>
      </c>
      <c r="C14" s="83"/>
      <c r="D14" s="83"/>
      <c r="E14" s="83"/>
      <c r="F14" s="83"/>
    </row>
    <row r="15" spans="1:7" ht="16.5" customHeight="1" x14ac:dyDescent="0.3">
      <c r="B15" s="3" t="s">
        <v>18</v>
      </c>
      <c r="C15" s="4" t="s">
        <v>19</v>
      </c>
      <c r="D15" s="80" t="s">
        <v>20</v>
      </c>
      <c r="E15" s="80"/>
      <c r="F15" s="80"/>
    </row>
    <row r="16" spans="1:7" ht="16.5" customHeight="1" x14ac:dyDescent="0.3">
      <c r="B16" s="3" t="s">
        <v>21</v>
      </c>
      <c r="C16" s="4" t="s">
        <v>22</v>
      </c>
      <c r="D16" s="80" t="s">
        <v>23</v>
      </c>
      <c r="E16" s="80"/>
      <c r="F16" s="80"/>
    </row>
    <row r="17" spans="2:6" ht="16.5" customHeight="1" x14ac:dyDescent="0.3">
      <c r="B17" s="3" t="s">
        <v>24</v>
      </c>
      <c r="C17" s="4" t="s">
        <v>25</v>
      </c>
      <c r="D17" s="80" t="s">
        <v>26</v>
      </c>
      <c r="E17" s="80"/>
      <c r="F17" s="80"/>
    </row>
    <row r="18" spans="2:6" ht="16.5" customHeight="1" x14ac:dyDescent="0.3">
      <c r="B18" s="3" t="s">
        <v>27</v>
      </c>
      <c r="C18" s="4" t="s">
        <v>28</v>
      </c>
      <c r="D18" s="80" t="s">
        <v>29</v>
      </c>
      <c r="E18" s="80"/>
      <c r="F18" s="80"/>
    </row>
    <row r="19" spans="2:6" ht="16.5" customHeight="1" x14ac:dyDescent="0.3">
      <c r="B19" s="3" t="s">
        <v>30</v>
      </c>
      <c r="C19" s="4" t="s">
        <v>31</v>
      </c>
      <c r="D19" s="80" t="s">
        <v>32</v>
      </c>
      <c r="E19" s="80"/>
      <c r="F19" s="80"/>
    </row>
    <row r="20" spans="2:6" ht="16.5" customHeight="1" x14ac:dyDescent="0.3">
      <c r="B20" s="3" t="s">
        <v>33</v>
      </c>
      <c r="C20" s="4" t="s">
        <v>34</v>
      </c>
      <c r="D20" s="80" t="s">
        <v>35</v>
      </c>
      <c r="E20" s="80"/>
      <c r="F20" s="80"/>
    </row>
    <row r="21" spans="2:6" ht="16.5" customHeight="1" x14ac:dyDescent="0.3">
      <c r="B21" s="3" t="s">
        <v>36</v>
      </c>
      <c r="C21" s="4" t="s">
        <v>37</v>
      </c>
      <c r="D21" s="80" t="s">
        <v>38</v>
      </c>
      <c r="E21" s="80"/>
      <c r="F21" s="80"/>
    </row>
    <row r="22" spans="2:6" ht="16.5" customHeight="1" x14ac:dyDescent="0.3">
      <c r="B22" s="3" t="s">
        <v>39</v>
      </c>
      <c r="C22" s="4" t="s">
        <v>40</v>
      </c>
      <c r="D22" s="80" t="s">
        <v>41</v>
      </c>
      <c r="E22" s="80"/>
      <c r="F22" s="80"/>
    </row>
    <row r="23" spans="2:6" ht="16.5" customHeight="1" x14ac:dyDescent="0.3">
      <c r="B23" s="3" t="s">
        <v>42</v>
      </c>
      <c r="C23" s="4" t="s">
        <v>43</v>
      </c>
      <c r="D23" s="80" t="s">
        <v>44</v>
      </c>
      <c r="E23" s="80"/>
      <c r="F23" s="80"/>
    </row>
    <row r="24" spans="2:6" ht="16.5" customHeight="1" x14ac:dyDescent="0.3">
      <c r="B24" s="3" t="s">
        <v>45</v>
      </c>
      <c r="C24" s="4" t="s">
        <v>46</v>
      </c>
      <c r="D24" s="80" t="s">
        <v>47</v>
      </c>
      <c r="E24" s="80"/>
      <c r="F24" s="80"/>
    </row>
  </sheetData>
  <mergeCells count="23">
    <mergeCell ref="A1:G1"/>
    <mergeCell ref="B2:F2"/>
    <mergeCell ref="B3:F3"/>
    <mergeCell ref="C4:F4"/>
    <mergeCell ref="C5:F5"/>
    <mergeCell ref="C6:F6"/>
    <mergeCell ref="C7:F7"/>
    <mergeCell ref="C8:F8"/>
    <mergeCell ref="C9:F9"/>
    <mergeCell ref="C10:F10"/>
    <mergeCell ref="C11:F11"/>
    <mergeCell ref="C12:F12"/>
    <mergeCell ref="B14:F14"/>
    <mergeCell ref="D15:F15"/>
    <mergeCell ref="D16:F16"/>
    <mergeCell ref="D22:F22"/>
    <mergeCell ref="D23:F23"/>
    <mergeCell ref="D24:F24"/>
    <mergeCell ref="D17:F17"/>
    <mergeCell ref="D18:F18"/>
    <mergeCell ref="D19:F19"/>
    <mergeCell ref="D20:F20"/>
    <mergeCell ref="D21:F21"/>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395"/>
  </sheetPr>
  <dimension ref="A2:G38"/>
  <sheetViews>
    <sheetView showGridLines="0" zoomScaleNormal="100" workbookViewId="0">
      <pane xSplit="2" ySplit="6" topLeftCell="C32" activePane="bottomRight" state="frozen"/>
      <selection pane="topRight" activeCell="C1" sqref="C1"/>
      <selection pane="bottomLeft" activeCell="A16" sqref="A16"/>
      <selection pane="bottomRight" activeCell="B2" sqref="B2:G2"/>
    </sheetView>
  </sheetViews>
  <sheetFormatPr defaultColWidth="8.6640625" defaultRowHeight="14.4" x14ac:dyDescent="0.3"/>
  <cols>
    <col min="1" max="1" width="2" customWidth="1"/>
    <col min="2" max="2" width="42.88671875" customWidth="1"/>
    <col min="3" max="7" width="15" customWidth="1"/>
    <col min="8" max="8" width="3" customWidth="1"/>
  </cols>
  <sheetData>
    <row r="2" spans="2:7" ht="25.5" customHeight="1" x14ac:dyDescent="0.3">
      <c r="B2" s="87" t="s">
        <v>246</v>
      </c>
      <c r="C2" s="87"/>
      <c r="D2" s="87"/>
      <c r="E2" s="87"/>
      <c r="F2" s="87"/>
      <c r="G2" s="87"/>
    </row>
    <row r="3" spans="2:7" ht="25.5" customHeight="1" x14ac:dyDescent="0.3">
      <c r="B3" s="87" t="s">
        <v>48</v>
      </c>
      <c r="C3" s="87"/>
      <c r="D3" s="87"/>
      <c r="E3" s="87"/>
      <c r="F3" s="87"/>
      <c r="G3" s="87"/>
    </row>
    <row r="4" spans="2:7" x14ac:dyDescent="0.3">
      <c r="B4" s="88" t="s">
        <v>49</v>
      </c>
      <c r="C4" s="88"/>
      <c r="D4" s="88"/>
      <c r="E4" s="88"/>
      <c r="F4" s="88"/>
      <c r="G4" s="88"/>
    </row>
    <row r="6" spans="2:7" ht="21.75" customHeight="1" x14ac:dyDescent="0.3">
      <c r="B6" s="5" t="s">
        <v>50</v>
      </c>
      <c r="C6" s="5" t="s">
        <v>51</v>
      </c>
      <c r="D6" s="5" t="s">
        <v>52</v>
      </c>
      <c r="E6" s="5" t="s">
        <v>53</v>
      </c>
      <c r="F6" s="5" t="s">
        <v>54</v>
      </c>
      <c r="G6" s="5" t="s">
        <v>55</v>
      </c>
    </row>
    <row r="7" spans="2:7" x14ac:dyDescent="0.3">
      <c r="B7" s="6" t="s">
        <v>56</v>
      </c>
      <c r="C7" s="6" t="s">
        <v>57</v>
      </c>
      <c r="D7" s="6" t="s">
        <v>58</v>
      </c>
      <c r="E7" s="6" t="s">
        <v>59</v>
      </c>
      <c r="F7" s="6" t="s">
        <v>60</v>
      </c>
      <c r="G7" s="6" t="s">
        <v>61</v>
      </c>
    </row>
    <row r="8" spans="2:7" x14ac:dyDescent="0.3">
      <c r="C8" s="7"/>
      <c r="D8" s="7"/>
      <c r="E8" s="7"/>
      <c r="F8" s="7"/>
      <c r="G8" s="7"/>
    </row>
    <row r="9" spans="2:7" x14ac:dyDescent="0.3">
      <c r="B9" s="8" t="s">
        <v>62</v>
      </c>
      <c r="C9" s="9"/>
      <c r="D9" s="9"/>
      <c r="E9" s="9"/>
      <c r="F9" s="9"/>
      <c r="G9" s="9"/>
    </row>
    <row r="10" spans="2:7" x14ac:dyDescent="0.3">
      <c r="B10" s="10" t="s">
        <v>63</v>
      </c>
      <c r="C10" s="11">
        <v>54155</v>
      </c>
      <c r="D10" s="11">
        <v>58185</v>
      </c>
      <c r="E10" s="11">
        <v>51225</v>
      </c>
      <c r="F10" s="11">
        <v>63672</v>
      </c>
      <c r="G10" s="11">
        <v>74731</v>
      </c>
    </row>
    <row r="11" spans="2:7" x14ac:dyDescent="0.3">
      <c r="B11" s="12" t="s">
        <v>64</v>
      </c>
      <c r="C11" s="13">
        <f>SUM(C10:C10)</f>
        <v>54155</v>
      </c>
      <c r="D11" s="13">
        <f>SUM(D10:D10)</f>
        <v>58185</v>
      </c>
      <c r="E11" s="13">
        <f>SUM(E10:E10)</f>
        <v>51225</v>
      </c>
      <c r="F11" s="13">
        <f>SUM(F10:F10)</f>
        <v>63672</v>
      </c>
      <c r="G11" s="13">
        <f>SUM(G10:G10)</f>
        <v>74731</v>
      </c>
    </row>
    <row r="12" spans="2:7" x14ac:dyDescent="0.3">
      <c r="C12" s="7"/>
      <c r="D12" s="7"/>
      <c r="E12" s="7"/>
      <c r="F12" s="7"/>
      <c r="G12" s="7"/>
    </row>
    <row r="13" spans="2:7" x14ac:dyDescent="0.3">
      <c r="B13" s="8" t="s">
        <v>65</v>
      </c>
      <c r="C13" s="9"/>
      <c r="D13" s="9"/>
      <c r="E13" s="9"/>
      <c r="F13" s="9"/>
      <c r="G13" s="9"/>
    </row>
    <row r="14" spans="2:7" x14ac:dyDescent="0.3">
      <c r="B14" s="10" t="s">
        <v>66</v>
      </c>
      <c r="C14" s="11">
        <v>48194</v>
      </c>
      <c r="D14" s="11">
        <v>48910</v>
      </c>
      <c r="E14" s="11">
        <v>43291</v>
      </c>
      <c r="F14" s="11">
        <v>53614.400000000001</v>
      </c>
      <c r="G14" s="11">
        <v>64185.48</v>
      </c>
    </row>
    <row r="15" spans="2:7" x14ac:dyDescent="0.3">
      <c r="B15" s="10" t="s">
        <v>67</v>
      </c>
      <c r="C15" s="11">
        <v>2335</v>
      </c>
      <c r="D15" s="11">
        <v>2736.41</v>
      </c>
      <c r="E15" s="11">
        <v>1960</v>
      </c>
      <c r="F15" s="11">
        <v>3366</v>
      </c>
      <c r="G15" s="11">
        <v>2988</v>
      </c>
    </row>
    <row r="16" spans="2:7" x14ac:dyDescent="0.3">
      <c r="B16" s="10" t="s">
        <v>68</v>
      </c>
      <c r="C16" s="11">
        <v>-1757</v>
      </c>
      <c r="D16" s="11">
        <v>1239</v>
      </c>
      <c r="E16" s="11">
        <v>24</v>
      </c>
      <c r="F16" s="11">
        <v>-843</v>
      </c>
      <c r="G16" s="11">
        <v>-266</v>
      </c>
    </row>
    <row r="17" spans="2:7" x14ac:dyDescent="0.3">
      <c r="B17" s="10" t="s">
        <v>69</v>
      </c>
      <c r="C17" s="11">
        <v>392</v>
      </c>
      <c r="D17" s="11">
        <v>394</v>
      </c>
      <c r="E17" s="11">
        <v>421</v>
      </c>
      <c r="F17" s="11">
        <v>566</v>
      </c>
      <c r="G17" s="11">
        <v>676</v>
      </c>
    </row>
    <row r="18" spans="2:7" x14ac:dyDescent="0.3">
      <c r="B18" s="10" t="s">
        <v>70</v>
      </c>
      <c r="C18" s="11">
        <v>3254</v>
      </c>
      <c r="D18" s="11">
        <v>3947</v>
      </c>
      <c r="E18" s="11">
        <v>4430</v>
      </c>
      <c r="F18" s="11">
        <v>4487</v>
      </c>
      <c r="G18" s="11">
        <v>5016</v>
      </c>
    </row>
    <row r="19" spans="2:7" x14ac:dyDescent="0.3">
      <c r="B19" s="14" t="s">
        <v>71</v>
      </c>
      <c r="C19" s="15">
        <f>SUM(C14:C18)</f>
        <v>52418</v>
      </c>
      <c r="D19" s="15">
        <f>SUM(D14:D18)</f>
        <v>57226.41</v>
      </c>
      <c r="E19" s="15">
        <f>SUM(E14:E18)</f>
        <v>50126</v>
      </c>
      <c r="F19" s="15">
        <f>SUM(F14:F18)</f>
        <v>61190.400000000001</v>
      </c>
      <c r="G19" s="15">
        <f>SUM(G14:G18)</f>
        <v>72599.48000000001</v>
      </c>
    </row>
    <row r="20" spans="2:7" x14ac:dyDescent="0.3">
      <c r="C20" s="7"/>
      <c r="D20" s="7"/>
      <c r="E20" s="7"/>
      <c r="F20" s="7"/>
      <c r="G20" s="7"/>
    </row>
    <row r="21" spans="2:7" x14ac:dyDescent="0.3">
      <c r="B21" s="14" t="s">
        <v>72</v>
      </c>
      <c r="C21" s="15">
        <f>C11-C19</f>
        <v>1737</v>
      </c>
      <c r="D21" s="15">
        <f>D11-D19</f>
        <v>958.58999999999651</v>
      </c>
      <c r="E21" s="15">
        <f>E11-E19</f>
        <v>1099</v>
      </c>
      <c r="F21" s="15">
        <f>F11-F19</f>
        <v>2481.5999999999985</v>
      </c>
      <c r="G21" s="15">
        <f>G11-G19</f>
        <v>2131.5199999999895</v>
      </c>
    </row>
    <row r="22" spans="2:7" x14ac:dyDescent="0.3">
      <c r="B22" s="16" t="s">
        <v>73</v>
      </c>
      <c r="C22" s="17">
        <f>C21/C11</f>
        <v>3.2074600683224076E-2</v>
      </c>
      <c r="D22" s="17">
        <f>D21/D11</f>
        <v>1.6474864655839073E-2</v>
      </c>
      <c r="E22" s="17">
        <f>E21/E11</f>
        <v>2.1454367984382626E-2</v>
      </c>
      <c r="F22" s="17">
        <f>F21/F11</f>
        <v>3.8974745571051614E-2</v>
      </c>
      <c r="G22" s="17">
        <f>G21/G11</f>
        <v>2.8522567609158042E-2</v>
      </c>
    </row>
    <row r="23" spans="2:7" x14ac:dyDescent="0.3">
      <c r="B23" s="18"/>
      <c r="C23" s="19"/>
      <c r="D23" s="19"/>
      <c r="E23" s="19"/>
      <c r="F23" s="19"/>
      <c r="G23" s="19"/>
    </row>
    <row r="24" spans="2:7" x14ac:dyDescent="0.3">
      <c r="B24" s="10" t="s">
        <v>74</v>
      </c>
      <c r="C24" s="11">
        <v>172</v>
      </c>
      <c r="D24" s="11">
        <v>961</v>
      </c>
      <c r="E24" s="11">
        <v>240</v>
      </c>
      <c r="F24" s="11">
        <v>233</v>
      </c>
      <c r="G24" s="11">
        <v>392</v>
      </c>
    </row>
    <row r="25" spans="2:7" x14ac:dyDescent="0.3">
      <c r="B25" s="14" t="s">
        <v>75</v>
      </c>
      <c r="C25" s="15">
        <f>C21+C24</f>
        <v>1909</v>
      </c>
      <c r="D25" s="15">
        <f>D21+D24</f>
        <v>1919.5899999999965</v>
      </c>
      <c r="E25" s="15">
        <f>E21+E24</f>
        <v>1339</v>
      </c>
      <c r="F25" s="15">
        <f>F21+F24</f>
        <v>2714.5999999999985</v>
      </c>
      <c r="G25" s="15">
        <f>G21+G24</f>
        <v>2523.5199999999895</v>
      </c>
    </row>
    <row r="26" spans="2:7" x14ac:dyDescent="0.3">
      <c r="B26" s="10" t="s">
        <v>76</v>
      </c>
      <c r="C26" s="11">
        <v>541</v>
      </c>
      <c r="D26" s="11">
        <v>775</v>
      </c>
      <c r="E26" s="11">
        <v>749</v>
      </c>
      <c r="F26" s="11">
        <v>724</v>
      </c>
      <c r="G26" s="11">
        <v>707</v>
      </c>
    </row>
    <row r="27" spans="2:7" x14ac:dyDescent="0.3">
      <c r="B27" s="10" t="s">
        <v>77</v>
      </c>
      <c r="C27" s="11">
        <v>309</v>
      </c>
      <c r="D27" s="11">
        <v>358</v>
      </c>
      <c r="E27" s="11">
        <v>364</v>
      </c>
      <c r="F27" s="11">
        <v>395</v>
      </c>
      <c r="G27" s="11">
        <v>449</v>
      </c>
    </row>
    <row r="28" spans="2:7" x14ac:dyDescent="0.3">
      <c r="B28" s="14" t="s">
        <v>78</v>
      </c>
      <c r="C28" s="15">
        <f>C25-C26-C27</f>
        <v>1059</v>
      </c>
      <c r="D28" s="15">
        <f>D25-D26-D27</f>
        <v>786.58999999999651</v>
      </c>
      <c r="E28" s="15">
        <f>E25-E26-E27</f>
        <v>226</v>
      </c>
      <c r="F28" s="15">
        <f>F25-F26-F27</f>
        <v>1595.5999999999985</v>
      </c>
      <c r="G28" s="15">
        <f>G25-G26-G27</f>
        <v>1367.5199999999895</v>
      </c>
    </row>
    <row r="29" spans="2:7" x14ac:dyDescent="0.3">
      <c r="B29" s="20"/>
      <c r="C29" s="21"/>
      <c r="D29" s="21"/>
      <c r="E29" s="21"/>
      <c r="F29" s="21"/>
      <c r="G29" s="21"/>
    </row>
    <row r="30" spans="2:7" x14ac:dyDescent="0.3">
      <c r="B30" s="10" t="s">
        <v>79</v>
      </c>
      <c r="C30" s="22">
        <v>285.93</v>
      </c>
      <c r="D30" s="22">
        <v>237</v>
      </c>
      <c r="E30" s="22">
        <v>91.7</v>
      </c>
      <c r="F30" s="22">
        <v>432</v>
      </c>
      <c r="G30" s="22">
        <v>382.76</v>
      </c>
    </row>
    <row r="31" spans="2:7" x14ac:dyDescent="0.3">
      <c r="B31" s="23" t="s">
        <v>80</v>
      </c>
      <c r="C31" s="24">
        <f>C28-C30</f>
        <v>773.06999999999994</v>
      </c>
      <c r="D31" s="24">
        <f>D28-D30</f>
        <v>549.58999999999651</v>
      </c>
      <c r="E31" s="24">
        <f>E28-E30</f>
        <v>134.30000000000001</v>
      </c>
      <c r="F31" s="24">
        <f>F28-F30</f>
        <v>1163.5999999999985</v>
      </c>
      <c r="G31" s="24">
        <f>G28-G30</f>
        <v>984.75999999998953</v>
      </c>
    </row>
    <row r="32" spans="2:7" x14ac:dyDescent="0.3">
      <c r="B32" s="16" t="s">
        <v>81</v>
      </c>
      <c r="C32" s="17">
        <f>C31/C11</f>
        <v>1.4275136183177915E-2</v>
      </c>
      <c r="D32" s="17">
        <f>D31/D11</f>
        <v>9.4455615708515343E-3</v>
      </c>
      <c r="E32" s="17">
        <f>E31/E11</f>
        <v>2.6217667154709618E-3</v>
      </c>
      <c r="F32" s="17">
        <f>F31/F11</f>
        <v>1.8274908908154266E-2</v>
      </c>
      <c r="G32" s="17">
        <f>G31/G11</f>
        <v>1.3177396261256902E-2</v>
      </c>
    </row>
    <row r="33" spans="1:7" x14ac:dyDescent="0.3">
      <c r="C33" s="7"/>
      <c r="D33" s="7"/>
      <c r="E33" s="7"/>
      <c r="F33" s="7"/>
      <c r="G33" s="7"/>
    </row>
    <row r="34" spans="1:7" x14ac:dyDescent="0.3">
      <c r="B34" s="10" t="s">
        <v>82</v>
      </c>
      <c r="C34" s="25">
        <v>130.19</v>
      </c>
      <c r="D34" s="25">
        <v>130.29</v>
      </c>
      <c r="E34" s="25">
        <v>130.29</v>
      </c>
      <c r="F34" s="25">
        <v>130.02000000000001</v>
      </c>
      <c r="G34" s="25">
        <v>129.96</v>
      </c>
    </row>
    <row r="35" spans="1:7" x14ac:dyDescent="0.3">
      <c r="B35" s="12" t="s">
        <v>83</v>
      </c>
      <c r="C35" s="26">
        <f>C31/C34</f>
        <v>5.9380136723250629</v>
      </c>
      <c r="D35" s="26">
        <f>D31/D34</f>
        <v>4.2182055414843544</v>
      </c>
      <c r="E35" s="26">
        <f>E31/E34</f>
        <v>1.0307774963542868</v>
      </c>
      <c r="F35" s="26">
        <f>F31/F34</f>
        <v>8.9493924011690389</v>
      </c>
      <c r="G35" s="26">
        <f>G31/G34</f>
        <v>7.577408433364031</v>
      </c>
    </row>
    <row r="38" spans="1:7" ht="27.75" customHeight="1" x14ac:dyDescent="0.3">
      <c r="A38" s="27"/>
      <c r="B38" s="89" t="s">
        <v>84</v>
      </c>
      <c r="C38" s="89"/>
      <c r="D38" s="89"/>
      <c r="E38" s="89"/>
      <c r="F38" s="89"/>
      <c r="G38" s="89"/>
    </row>
  </sheetData>
  <mergeCells count="4">
    <mergeCell ref="B2:G2"/>
    <mergeCell ref="B3:G3"/>
    <mergeCell ref="B4:G4"/>
    <mergeCell ref="B38:G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5395"/>
  </sheetPr>
  <dimension ref="A2:G45"/>
  <sheetViews>
    <sheetView showGridLines="0" zoomScaleNormal="100" workbookViewId="0">
      <pane xSplit="2" ySplit="6" topLeftCell="C23" activePane="bottomRight" state="frozen"/>
      <selection pane="topRight" activeCell="C1" sqref="C1"/>
      <selection pane="bottomLeft" activeCell="A7" sqref="A7"/>
      <selection pane="bottomRight" activeCell="K36" sqref="K36:K39"/>
    </sheetView>
  </sheetViews>
  <sheetFormatPr defaultColWidth="8.6640625" defaultRowHeight="14.4" x14ac:dyDescent="0.3"/>
  <cols>
    <col min="1" max="1" width="2" customWidth="1"/>
    <col min="2" max="2" width="44.77734375" customWidth="1"/>
    <col min="3" max="7" width="15" customWidth="1"/>
    <col min="8" max="8" width="3" customWidth="1"/>
  </cols>
  <sheetData>
    <row r="2" spans="2:7" ht="25.5" customHeight="1" x14ac:dyDescent="0.3">
      <c r="B2" s="87" t="s">
        <v>246</v>
      </c>
      <c r="C2" s="87"/>
      <c r="D2" s="87"/>
      <c r="E2" s="87"/>
      <c r="F2" s="87"/>
      <c r="G2" s="87"/>
    </row>
    <row r="3" spans="2:7" ht="25.5" customHeight="1" x14ac:dyDescent="0.3">
      <c r="B3" s="87" t="s">
        <v>85</v>
      </c>
      <c r="C3" s="87"/>
      <c r="D3" s="87"/>
      <c r="E3" s="87"/>
      <c r="F3" s="87"/>
      <c r="G3" s="87"/>
    </row>
    <row r="4" spans="2:7" x14ac:dyDescent="0.3">
      <c r="B4" s="88" t="s">
        <v>86</v>
      </c>
      <c r="C4" s="88"/>
      <c r="D4" s="88"/>
      <c r="E4" s="88"/>
      <c r="F4" s="88"/>
      <c r="G4" s="88"/>
    </row>
    <row r="6" spans="2:7" ht="21.75" customHeight="1" x14ac:dyDescent="0.3">
      <c r="B6" s="5" t="s">
        <v>50</v>
      </c>
      <c r="C6" s="5" t="s">
        <v>51</v>
      </c>
      <c r="D6" s="5" t="s">
        <v>52</v>
      </c>
      <c r="E6" s="5" t="s">
        <v>53</v>
      </c>
      <c r="F6" s="5" t="s">
        <v>54</v>
      </c>
      <c r="G6" s="5" t="s">
        <v>55</v>
      </c>
    </row>
    <row r="7" spans="2:7" ht="15.75" customHeight="1" x14ac:dyDescent="0.3">
      <c r="B7" s="6" t="s">
        <v>56</v>
      </c>
      <c r="C7" s="6" t="s">
        <v>57</v>
      </c>
      <c r="D7" s="6" t="s">
        <v>58</v>
      </c>
      <c r="E7" s="6" t="s">
        <v>59</v>
      </c>
      <c r="F7" s="6" t="s">
        <v>60</v>
      </c>
      <c r="G7" s="6" t="s">
        <v>61</v>
      </c>
    </row>
    <row r="8" spans="2:7" x14ac:dyDescent="0.3">
      <c r="C8" s="7"/>
      <c r="D8" s="7"/>
      <c r="E8" s="7"/>
      <c r="F8" s="7"/>
      <c r="G8" s="7"/>
    </row>
    <row r="9" spans="2:7" x14ac:dyDescent="0.3">
      <c r="B9" s="8" t="s">
        <v>87</v>
      </c>
      <c r="C9" s="9"/>
      <c r="D9" s="9"/>
      <c r="E9" s="9"/>
      <c r="F9" s="9"/>
      <c r="G9" s="9"/>
    </row>
    <row r="10" spans="2:7" x14ac:dyDescent="0.3">
      <c r="B10" s="28" t="s">
        <v>88</v>
      </c>
      <c r="C10" s="7"/>
      <c r="D10" s="7"/>
      <c r="E10" s="7"/>
      <c r="F10" s="7"/>
      <c r="G10" s="7"/>
    </row>
    <row r="11" spans="2:7" x14ac:dyDescent="0.3">
      <c r="B11" s="10" t="s">
        <v>89</v>
      </c>
      <c r="C11" s="11">
        <v>130</v>
      </c>
      <c r="D11" s="11">
        <v>130</v>
      </c>
      <c r="E11" s="11">
        <v>130</v>
      </c>
      <c r="F11" s="11">
        <v>130</v>
      </c>
      <c r="G11" s="11">
        <v>129</v>
      </c>
    </row>
    <row r="12" spans="2:7" x14ac:dyDescent="0.3">
      <c r="B12" s="10" t="s">
        <v>90</v>
      </c>
      <c r="C12" s="11">
        <v>7476</v>
      </c>
      <c r="D12" s="11">
        <v>8036</v>
      </c>
      <c r="E12" s="11">
        <v>8186</v>
      </c>
      <c r="F12" s="11">
        <v>9294</v>
      </c>
      <c r="G12" s="11">
        <v>10311</v>
      </c>
    </row>
    <row r="13" spans="2:7" x14ac:dyDescent="0.3">
      <c r="B13" s="12" t="s">
        <v>91</v>
      </c>
      <c r="C13" s="13">
        <f>C11+C12</f>
        <v>7606</v>
      </c>
      <c r="D13" s="13">
        <f>D11+D12</f>
        <v>8166</v>
      </c>
      <c r="E13" s="13">
        <f>E11+E12</f>
        <v>8316</v>
      </c>
      <c r="F13" s="13">
        <f>F11+F12</f>
        <v>9424</v>
      </c>
      <c r="G13" s="13">
        <f>G11+G12</f>
        <v>10440</v>
      </c>
    </row>
    <row r="14" spans="2:7" x14ac:dyDescent="0.3">
      <c r="C14" s="7"/>
      <c r="D14" s="7"/>
      <c r="E14" s="7"/>
      <c r="F14" s="7"/>
      <c r="G14" s="7"/>
    </row>
    <row r="15" spans="2:7" x14ac:dyDescent="0.3">
      <c r="B15" s="28" t="s">
        <v>92</v>
      </c>
      <c r="C15" s="7"/>
      <c r="D15" s="7"/>
      <c r="E15" s="7"/>
      <c r="F15" s="7"/>
      <c r="G15" s="7"/>
    </row>
    <row r="16" spans="2:7" x14ac:dyDescent="0.3">
      <c r="B16" s="10" t="s">
        <v>93</v>
      </c>
      <c r="C16" s="29">
        <v>44.97</v>
      </c>
      <c r="D16" s="29">
        <v>0</v>
      </c>
      <c r="E16" s="29">
        <v>0</v>
      </c>
      <c r="F16" s="11">
        <v>186.24</v>
      </c>
      <c r="G16" s="11">
        <v>392.24</v>
      </c>
    </row>
    <row r="17" spans="2:7" x14ac:dyDescent="0.3">
      <c r="B17" s="10" t="s">
        <v>94</v>
      </c>
      <c r="C17" s="11">
        <v>975</v>
      </c>
      <c r="D17" s="11">
        <v>1126.9100000000001</v>
      </c>
      <c r="E17" s="11">
        <v>1079</v>
      </c>
      <c r="F17" s="11">
        <v>1100.3900000000001</v>
      </c>
      <c r="G17" s="11">
        <v>1494</v>
      </c>
    </row>
    <row r="18" spans="2:7" x14ac:dyDescent="0.3">
      <c r="B18" s="12" t="s">
        <v>95</v>
      </c>
      <c r="C18" s="13">
        <f>SUM(C16:C17)</f>
        <v>1019.97</v>
      </c>
      <c r="D18" s="13">
        <f>SUM(D16:D17)</f>
        <v>1126.9100000000001</v>
      </c>
      <c r="E18" s="13">
        <f>SUM(E16:E17)</f>
        <v>1079</v>
      </c>
      <c r="F18" s="13">
        <f>SUM(F16:F17)</f>
        <v>1286.6300000000001</v>
      </c>
      <c r="G18" s="13">
        <f>SUM(G16:G17)</f>
        <v>1886.24</v>
      </c>
    </row>
    <row r="19" spans="2:7" x14ac:dyDescent="0.3">
      <c r="B19" s="12"/>
      <c r="C19" s="11"/>
      <c r="D19" s="11"/>
      <c r="E19" s="11"/>
      <c r="F19" s="11"/>
      <c r="G19" s="11"/>
    </row>
    <row r="20" spans="2:7" x14ac:dyDescent="0.3">
      <c r="B20" s="28" t="s">
        <v>96</v>
      </c>
      <c r="C20" s="11"/>
      <c r="D20" s="11"/>
      <c r="E20" s="11"/>
      <c r="F20" s="11"/>
      <c r="G20" s="11"/>
    </row>
    <row r="21" spans="2:7" x14ac:dyDescent="0.3">
      <c r="B21" s="10" t="s">
        <v>97</v>
      </c>
      <c r="C21" s="11">
        <v>2523</v>
      </c>
      <c r="D21" s="11">
        <v>2225</v>
      </c>
      <c r="E21" s="11">
        <v>2415</v>
      </c>
      <c r="F21" s="11">
        <v>1525.59</v>
      </c>
      <c r="G21" s="11">
        <v>425.93</v>
      </c>
    </row>
    <row r="22" spans="2:7" x14ac:dyDescent="0.3">
      <c r="B22" s="10" t="s">
        <v>98</v>
      </c>
      <c r="C22" s="11">
        <v>1840</v>
      </c>
      <c r="D22" s="11">
        <v>2678</v>
      </c>
      <c r="E22" s="11">
        <v>2818</v>
      </c>
      <c r="F22" s="11">
        <v>2955.71</v>
      </c>
      <c r="G22" s="11">
        <v>3269</v>
      </c>
    </row>
    <row r="23" spans="2:7" x14ac:dyDescent="0.3">
      <c r="B23" s="10" t="s">
        <v>99</v>
      </c>
      <c r="C23" s="11">
        <v>8328</v>
      </c>
      <c r="D23" s="11">
        <v>6784</v>
      </c>
      <c r="E23" s="11">
        <v>5177</v>
      </c>
      <c r="F23" s="11">
        <v>7245.96</v>
      </c>
      <c r="G23" s="25">
        <v>8733.3700000000008</v>
      </c>
    </row>
    <row r="24" spans="2:7" x14ac:dyDescent="0.3">
      <c r="B24" s="12" t="s">
        <v>100</v>
      </c>
      <c r="C24" s="13">
        <f>SUM(C21:C23)</f>
        <v>12691</v>
      </c>
      <c r="D24" s="13">
        <f>SUM(D21:D23)</f>
        <v>11687</v>
      </c>
      <c r="E24" s="13">
        <f>SUM(E21:E23)</f>
        <v>10410</v>
      </c>
      <c r="F24" s="13">
        <f>SUM(F21:F23)</f>
        <v>11727.26</v>
      </c>
      <c r="G24" s="13">
        <f>SUM(G21:G23)</f>
        <v>12428.300000000001</v>
      </c>
    </row>
    <row r="25" spans="2:7" x14ac:dyDescent="0.3">
      <c r="B25" s="10"/>
      <c r="C25" s="11"/>
      <c r="D25" s="11"/>
      <c r="E25" s="11"/>
      <c r="F25" s="11"/>
      <c r="G25" s="11"/>
    </row>
    <row r="26" spans="2:7" x14ac:dyDescent="0.3">
      <c r="B26" s="23" t="s">
        <v>101</v>
      </c>
      <c r="C26" s="24">
        <f>C13+C18+C24</f>
        <v>21316.97</v>
      </c>
      <c r="D26" s="24">
        <f>D13+D18+D24</f>
        <v>20979.91</v>
      </c>
      <c r="E26" s="24">
        <f>E13+E18+E24</f>
        <v>19805</v>
      </c>
      <c r="F26" s="24">
        <f>F13+F18+F24</f>
        <v>22437.89</v>
      </c>
      <c r="G26" s="24">
        <f>G13+G18+G24</f>
        <v>24754.54</v>
      </c>
    </row>
    <row r="27" spans="2:7" x14ac:dyDescent="0.3">
      <c r="C27" s="7"/>
      <c r="D27" s="7"/>
      <c r="E27" s="7"/>
      <c r="F27" s="7"/>
      <c r="G27" s="7"/>
    </row>
    <row r="28" spans="2:7" x14ac:dyDescent="0.3">
      <c r="B28" s="8" t="s">
        <v>102</v>
      </c>
      <c r="C28" s="9"/>
      <c r="D28" s="9"/>
      <c r="E28" s="9"/>
      <c r="F28" s="9"/>
      <c r="G28" s="9"/>
    </row>
    <row r="29" spans="2:7" x14ac:dyDescent="0.3">
      <c r="B29" s="28" t="s">
        <v>103</v>
      </c>
      <c r="C29" s="7"/>
      <c r="D29" s="7"/>
      <c r="E29" s="7"/>
      <c r="F29" s="7"/>
      <c r="G29" s="7"/>
    </row>
    <row r="30" spans="2:7" x14ac:dyDescent="0.3">
      <c r="B30" s="10" t="s">
        <v>104</v>
      </c>
      <c r="C30" s="11">
        <v>4288</v>
      </c>
      <c r="D30" s="11">
        <v>4334</v>
      </c>
      <c r="E30" s="11">
        <v>4455</v>
      </c>
      <c r="F30" s="11">
        <v>4993.37</v>
      </c>
      <c r="G30" s="11">
        <v>5992.37</v>
      </c>
    </row>
    <row r="31" spans="2:7" x14ac:dyDescent="0.3">
      <c r="B31" s="10" t="s">
        <v>105</v>
      </c>
      <c r="C31" s="11">
        <v>1647</v>
      </c>
      <c r="D31" s="29">
        <v>2115</v>
      </c>
      <c r="E31" s="11">
        <v>2633.2</v>
      </c>
      <c r="F31" s="11">
        <v>2829.13</v>
      </c>
      <c r="G31" s="11">
        <v>3106.48</v>
      </c>
    </row>
    <row r="32" spans="2:7" x14ac:dyDescent="0.3">
      <c r="B32" s="12" t="s">
        <v>135</v>
      </c>
      <c r="C32" s="13">
        <f>SUM(C30:C31)</f>
        <v>5935</v>
      </c>
      <c r="D32" s="13">
        <f>SUM(D30:D31)</f>
        <v>6449</v>
      </c>
      <c r="E32" s="13">
        <f>SUM(E30:E31)</f>
        <v>7088.2</v>
      </c>
      <c r="F32" s="13">
        <f>SUM(F30:F31)</f>
        <v>7822.5</v>
      </c>
      <c r="G32" s="13">
        <f>SUM(G30:G31)</f>
        <v>9098.85</v>
      </c>
    </row>
    <row r="33" spans="1:7" x14ac:dyDescent="0.3">
      <c r="B33" s="10"/>
      <c r="C33" s="11"/>
      <c r="D33" s="11"/>
      <c r="E33" s="11"/>
      <c r="F33" s="11"/>
      <c r="G33" s="11"/>
    </row>
    <row r="34" spans="1:7" x14ac:dyDescent="0.3">
      <c r="B34" s="28" t="s">
        <v>257</v>
      </c>
      <c r="C34" s="11"/>
      <c r="D34" s="11"/>
      <c r="E34" s="11"/>
      <c r="F34" s="11"/>
      <c r="G34" s="11"/>
    </row>
    <row r="35" spans="1:7" x14ac:dyDescent="0.3">
      <c r="B35" s="30" t="s">
        <v>107</v>
      </c>
      <c r="C35" s="11">
        <v>7716</v>
      </c>
      <c r="D35" s="11">
        <v>7681</v>
      </c>
      <c r="E35" s="11">
        <v>7203</v>
      </c>
      <c r="F35" s="11">
        <v>8641.2800000000007</v>
      </c>
      <c r="G35" s="11">
        <v>8190.72</v>
      </c>
    </row>
    <row r="36" spans="1:7" x14ac:dyDescent="0.3">
      <c r="B36" s="30" t="s">
        <v>108</v>
      </c>
      <c r="C36" s="11">
        <v>2218</v>
      </c>
      <c r="D36" s="11">
        <v>1931</v>
      </c>
      <c r="E36" s="11">
        <v>1782</v>
      </c>
      <c r="F36" s="11">
        <v>2415.5500000000002</v>
      </c>
      <c r="G36" s="11">
        <v>2624.32</v>
      </c>
    </row>
    <row r="37" spans="1:7" x14ac:dyDescent="0.3">
      <c r="B37" s="30" t="s">
        <v>109</v>
      </c>
      <c r="C37" s="11">
        <v>127</v>
      </c>
      <c r="D37" s="11">
        <v>394</v>
      </c>
      <c r="E37" s="11">
        <v>258</v>
      </c>
      <c r="F37" s="11">
        <v>543</v>
      </c>
      <c r="G37" s="11">
        <v>1677</v>
      </c>
    </row>
    <row r="38" spans="1:7" x14ac:dyDescent="0.3">
      <c r="B38" s="30" t="s">
        <v>110</v>
      </c>
      <c r="C38" s="11">
        <v>5321</v>
      </c>
      <c r="D38" s="11">
        <v>4525</v>
      </c>
      <c r="E38" s="11">
        <v>3474</v>
      </c>
      <c r="F38" s="11">
        <v>3015.69</v>
      </c>
      <c r="G38" s="11">
        <v>3163.68</v>
      </c>
    </row>
    <row r="39" spans="1:7" x14ac:dyDescent="0.3">
      <c r="B39" s="12" t="s">
        <v>106</v>
      </c>
      <c r="C39" s="13">
        <f>SUM(C35:C38)</f>
        <v>15382</v>
      </c>
      <c r="D39" s="13">
        <f>SUM(D35:D38)</f>
        <v>14531</v>
      </c>
      <c r="E39" s="13">
        <f>SUM(E35:E38)</f>
        <v>12717</v>
      </c>
      <c r="F39" s="13">
        <f>SUM(F35:F38)</f>
        <v>14615.520000000002</v>
      </c>
      <c r="G39" s="13">
        <f>SUM(G35:G38)</f>
        <v>15655.720000000001</v>
      </c>
    </row>
    <row r="40" spans="1:7" x14ac:dyDescent="0.3">
      <c r="C40" s="7"/>
      <c r="D40" s="7"/>
      <c r="E40" s="7"/>
      <c r="F40" s="7"/>
      <c r="G40" s="7"/>
    </row>
    <row r="41" spans="1:7" x14ac:dyDescent="0.3">
      <c r="B41" s="23" t="s">
        <v>111</v>
      </c>
      <c r="C41" s="24">
        <f>C32+C39</f>
        <v>21317</v>
      </c>
      <c r="D41" s="24">
        <f>D32+D39</f>
        <v>20980</v>
      </c>
      <c r="E41" s="24">
        <f>E32+E39</f>
        <v>19805.2</v>
      </c>
      <c r="F41" s="24">
        <f>F32+F39</f>
        <v>22438.020000000004</v>
      </c>
      <c r="G41" s="24">
        <f>G32+G39</f>
        <v>24754.57</v>
      </c>
    </row>
    <row r="42" spans="1:7" ht="27.75" customHeight="1" x14ac:dyDescent="0.3">
      <c r="B42" s="31" t="s">
        <v>112</v>
      </c>
      <c r="C42" s="32">
        <f>C41-C26</f>
        <v>2.9999999998835847E-2</v>
      </c>
      <c r="D42" s="32">
        <f>D41-D26</f>
        <v>9.0000000000145519E-2</v>
      </c>
      <c r="E42" s="32">
        <f>E41-E26</f>
        <v>0.2000000000007276</v>
      </c>
      <c r="F42" s="32">
        <f>F41-F26</f>
        <v>0.13000000000465661</v>
      </c>
      <c r="G42" s="32">
        <f>G41-G26</f>
        <v>2.9999999998835847E-2</v>
      </c>
    </row>
    <row r="44" spans="1:7" ht="14.25" customHeight="1" x14ac:dyDescent="0.3">
      <c r="B44" s="89" t="s">
        <v>84</v>
      </c>
      <c r="C44" s="89"/>
      <c r="D44" s="89"/>
      <c r="E44" s="89"/>
      <c r="F44" s="89"/>
      <c r="G44" s="89"/>
    </row>
    <row r="45" spans="1:7" ht="27.75" customHeight="1" x14ac:dyDescent="0.3">
      <c r="A45" s="90"/>
      <c r="B45" s="90"/>
      <c r="C45" s="90"/>
      <c r="D45" s="90"/>
      <c r="E45" s="90"/>
      <c r="F45" s="90"/>
      <c r="G45" s="90"/>
    </row>
  </sheetData>
  <mergeCells count="5">
    <mergeCell ref="B2:G2"/>
    <mergeCell ref="B3:G3"/>
    <mergeCell ref="B4:G4"/>
    <mergeCell ref="B44:G44"/>
    <mergeCell ref="A45:G4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5395"/>
  </sheetPr>
  <dimension ref="B2:G18"/>
  <sheetViews>
    <sheetView showGridLines="0" zoomScaleNormal="100" workbookViewId="0">
      <pane xSplit="2" ySplit="6" topLeftCell="C7" activePane="bottomRight" state="frozen"/>
      <selection pane="topRight" activeCell="C1" sqref="C1"/>
      <selection pane="bottomLeft" activeCell="A7" sqref="A7"/>
      <selection pane="bottomRight" activeCell="B2" sqref="B2:G2"/>
    </sheetView>
  </sheetViews>
  <sheetFormatPr defaultColWidth="8.6640625" defaultRowHeight="14.4" x14ac:dyDescent="0.3"/>
  <cols>
    <col min="1" max="1" width="2" customWidth="1"/>
    <col min="2" max="2" width="42.44140625" customWidth="1"/>
    <col min="3" max="7" width="15" customWidth="1"/>
    <col min="8" max="8" width="3" customWidth="1"/>
  </cols>
  <sheetData>
    <row r="2" spans="2:7" ht="25.5" customHeight="1" x14ac:dyDescent="0.3">
      <c r="B2" s="87" t="s">
        <v>246</v>
      </c>
      <c r="C2" s="87"/>
      <c r="D2" s="87"/>
      <c r="E2" s="87"/>
      <c r="F2" s="87"/>
      <c r="G2" s="87"/>
    </row>
    <row r="3" spans="2:7" ht="25.5" customHeight="1" x14ac:dyDescent="0.3">
      <c r="B3" s="87" t="s">
        <v>113</v>
      </c>
      <c r="C3" s="87"/>
      <c r="D3" s="87"/>
      <c r="E3" s="87"/>
      <c r="F3" s="87"/>
      <c r="G3" s="87"/>
    </row>
    <row r="4" spans="2:7" x14ac:dyDescent="0.3">
      <c r="B4" s="88" t="s">
        <v>114</v>
      </c>
      <c r="C4" s="88"/>
      <c r="D4" s="88"/>
      <c r="E4" s="88"/>
      <c r="F4" s="88"/>
      <c r="G4" s="88"/>
    </row>
    <row r="6" spans="2:7" ht="21.75" customHeight="1" x14ac:dyDescent="0.3">
      <c r="B6" s="5" t="s">
        <v>50</v>
      </c>
      <c r="C6" s="5" t="s">
        <v>51</v>
      </c>
      <c r="D6" s="5" t="s">
        <v>52</v>
      </c>
      <c r="E6" s="5" t="s">
        <v>53</v>
      </c>
      <c r="F6" s="5" t="s">
        <v>54</v>
      </c>
      <c r="G6" s="5" t="s">
        <v>55</v>
      </c>
    </row>
    <row r="7" spans="2:7" ht="15.75" customHeight="1" x14ac:dyDescent="0.3">
      <c r="B7" s="6" t="s">
        <v>115</v>
      </c>
      <c r="C7" s="6" t="s">
        <v>57</v>
      </c>
      <c r="D7" s="6" t="s">
        <v>58</v>
      </c>
      <c r="E7" s="6" t="s">
        <v>59</v>
      </c>
      <c r="F7" s="6" t="s">
        <v>60</v>
      </c>
      <c r="G7" s="6" t="s">
        <v>61</v>
      </c>
    </row>
    <row r="9" spans="2:7" x14ac:dyDescent="0.3">
      <c r="B9" s="10" t="s">
        <v>116</v>
      </c>
      <c r="C9" s="33">
        <v>1198</v>
      </c>
      <c r="D9" s="33">
        <v>663</v>
      </c>
      <c r="E9" s="33">
        <v>289</v>
      </c>
      <c r="F9" s="33">
        <v>2150</v>
      </c>
      <c r="G9" s="33">
        <v>3928</v>
      </c>
    </row>
    <row r="10" spans="2:7" x14ac:dyDescent="0.3">
      <c r="B10" s="10" t="s">
        <v>117</v>
      </c>
      <c r="C10" s="33">
        <v>-3786</v>
      </c>
      <c r="D10" s="33">
        <v>524</v>
      </c>
      <c r="E10" s="33">
        <v>138</v>
      </c>
      <c r="F10" s="33">
        <v>-278</v>
      </c>
      <c r="G10" s="33">
        <v>-1096</v>
      </c>
    </row>
    <row r="11" spans="2:7" x14ac:dyDescent="0.3">
      <c r="B11" s="10" t="s">
        <v>118</v>
      </c>
      <c r="C11" s="33">
        <v>2658</v>
      </c>
      <c r="D11" s="33">
        <v>-919</v>
      </c>
      <c r="E11" s="33">
        <v>-847</v>
      </c>
      <c r="F11" s="33">
        <v>-1544</v>
      </c>
      <c r="G11" s="33">
        <v>-1678</v>
      </c>
    </row>
    <row r="13" spans="2:7" x14ac:dyDescent="0.3">
      <c r="B13" s="14" t="s">
        <v>119</v>
      </c>
      <c r="C13" s="34">
        <f>C9+C10+C11</f>
        <v>70</v>
      </c>
      <c r="D13" s="34">
        <f>D9+D10+D11</f>
        <v>268</v>
      </c>
      <c r="E13" s="34">
        <f>E9+E10+E11</f>
        <v>-420</v>
      </c>
      <c r="F13" s="34">
        <f>F9+F10+F11</f>
        <v>328</v>
      </c>
      <c r="G13" s="34">
        <f>G9+G10+G11</f>
        <v>1154</v>
      </c>
    </row>
    <row r="15" spans="2:7" x14ac:dyDescent="0.3">
      <c r="B15" s="12" t="s">
        <v>120</v>
      </c>
      <c r="C15" s="35">
        <v>663</v>
      </c>
      <c r="D15" s="35">
        <v>-11</v>
      </c>
      <c r="E15" s="35">
        <v>-641</v>
      </c>
      <c r="F15" s="35">
        <v>1190</v>
      </c>
      <c r="G15" s="35">
        <v>3104</v>
      </c>
    </row>
    <row r="16" spans="2:7" x14ac:dyDescent="0.3">
      <c r="B16" s="18" t="s">
        <v>121</v>
      </c>
      <c r="C16" s="36">
        <f>C9/'Income Statement'!C21</f>
        <v>0.68969487622337367</v>
      </c>
      <c r="D16" s="36">
        <f>D9/'Income Statement'!D21</f>
        <v>0.6916408474947604</v>
      </c>
      <c r="E16" s="36">
        <f>E9/'Income Statement'!E21</f>
        <v>0.26296633303002731</v>
      </c>
      <c r="F16" s="36">
        <f>F9/'Income Statement'!F21</f>
        <v>0.8663765312701488</v>
      </c>
      <c r="G16" s="36">
        <f>G9/'Income Statement'!G21</f>
        <v>1.8428163939348536</v>
      </c>
    </row>
    <row r="18" spans="2:7" ht="14.25" customHeight="1" x14ac:dyDescent="0.3">
      <c r="B18" s="89" t="s">
        <v>122</v>
      </c>
      <c r="C18" s="89"/>
      <c r="D18" s="89"/>
      <c r="E18" s="89"/>
      <c r="F18" s="89"/>
      <c r="G18" s="89"/>
    </row>
  </sheetData>
  <mergeCells count="4">
    <mergeCell ref="B2:G2"/>
    <mergeCell ref="B3:G3"/>
    <mergeCell ref="B4:G4"/>
    <mergeCell ref="B18:G1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sheetPr>
  <dimension ref="A2:G44"/>
  <sheetViews>
    <sheetView showGridLines="0" zoomScaleNormal="100" workbookViewId="0">
      <pane xSplit="2" ySplit="6" topLeftCell="C15" activePane="bottomRight" state="frozen"/>
      <selection pane="topRight" activeCell="C1" sqref="C1"/>
      <selection pane="bottomLeft" activeCell="A6" sqref="A6"/>
      <selection pane="bottomRight" activeCell="B2" sqref="B2:G2"/>
    </sheetView>
  </sheetViews>
  <sheetFormatPr defaultColWidth="8.6640625" defaultRowHeight="14.4" x14ac:dyDescent="0.3"/>
  <cols>
    <col min="1" max="1" width="2" customWidth="1"/>
    <col min="2" max="2" width="44.77734375" bestFit="1" customWidth="1"/>
    <col min="3" max="7" width="13" customWidth="1"/>
    <col min="8" max="8" width="3" customWidth="1"/>
  </cols>
  <sheetData>
    <row r="2" spans="2:7" ht="25.5" customHeight="1" x14ac:dyDescent="0.3">
      <c r="B2" s="87" t="s">
        <v>246</v>
      </c>
      <c r="C2" s="87"/>
      <c r="D2" s="87"/>
      <c r="E2" s="87"/>
      <c r="F2" s="87"/>
      <c r="G2" s="87"/>
    </row>
    <row r="3" spans="2:7" ht="25.5" customHeight="1" x14ac:dyDescent="0.3">
      <c r="B3" s="77" t="s">
        <v>200</v>
      </c>
      <c r="C3" s="77"/>
      <c r="D3" s="77"/>
      <c r="E3" s="77"/>
      <c r="F3" s="77"/>
      <c r="G3" s="77"/>
    </row>
    <row r="4" spans="2:7" x14ac:dyDescent="0.3">
      <c r="B4" s="78" t="s">
        <v>123</v>
      </c>
      <c r="C4" s="78"/>
      <c r="D4" s="78"/>
      <c r="E4" s="78"/>
      <c r="F4" s="78"/>
      <c r="G4" s="78"/>
    </row>
    <row r="6" spans="2:7" ht="21.75" customHeight="1" x14ac:dyDescent="0.3">
      <c r="B6" s="37" t="s">
        <v>50</v>
      </c>
      <c r="C6" s="37" t="s">
        <v>51</v>
      </c>
      <c r="D6" s="37" t="s">
        <v>52</v>
      </c>
      <c r="E6" s="37" t="s">
        <v>53</v>
      </c>
      <c r="F6" s="37" t="s">
        <v>54</v>
      </c>
      <c r="G6" s="37" t="s">
        <v>55</v>
      </c>
    </row>
    <row r="8" spans="2:7" x14ac:dyDescent="0.3">
      <c r="B8" s="38" t="s">
        <v>124</v>
      </c>
      <c r="C8" s="39"/>
      <c r="D8" s="39"/>
      <c r="E8" s="39"/>
      <c r="F8" s="39"/>
      <c r="G8" s="39"/>
    </row>
    <row r="9" spans="2:7" x14ac:dyDescent="0.3">
      <c r="B9" s="40" t="s">
        <v>125</v>
      </c>
      <c r="C9" s="41">
        <f>IFERROR('Income Statement'!C10/'Income Statement'!C11,0)</f>
        <v>1</v>
      </c>
      <c r="D9" s="41">
        <f>IFERROR('Income Statement'!D10/'Income Statement'!D11,0)</f>
        <v>1</v>
      </c>
      <c r="E9" s="41">
        <f>IFERROR('Income Statement'!E10/'Income Statement'!E11,0)</f>
        <v>1</v>
      </c>
      <c r="F9" s="41">
        <f>IFERROR('Income Statement'!F10/'Income Statement'!F11,0)</f>
        <v>1</v>
      </c>
      <c r="G9" s="41">
        <f>IFERROR('Income Statement'!G10/'Income Statement'!G11,0)</f>
        <v>1</v>
      </c>
    </row>
    <row r="10" spans="2:7" x14ac:dyDescent="0.3">
      <c r="B10" s="40" t="s">
        <v>66</v>
      </c>
      <c r="C10" s="41">
        <f>IFERROR('Income Statement'!C14/'Income Statement'!C11,0)</f>
        <v>0.88992706121318432</v>
      </c>
      <c r="D10" s="41">
        <f>IFERROR('Income Statement'!D14/'Income Statement'!D11,0)</f>
        <v>0.84059465497980579</v>
      </c>
      <c r="E10" s="41">
        <f>IFERROR('Income Statement'!E14/'Income Statement'!E11,0)</f>
        <v>0.8451146900927281</v>
      </c>
      <c r="F10" s="41">
        <f>IFERROR('Income Statement'!F14/'Income Statement'!F11,0)</f>
        <v>0.84204045734388744</v>
      </c>
      <c r="G10" s="41">
        <f>IFERROR('Income Statement'!G14/'Income Statement'!G11,0)</f>
        <v>0.85888694116230213</v>
      </c>
    </row>
    <row r="11" spans="2:7" x14ac:dyDescent="0.3">
      <c r="B11" s="40" t="s">
        <v>67</v>
      </c>
      <c r="C11" s="41">
        <f>IFERROR('Income Statement'!C15/'Income Statement'!C11,0)</f>
        <v>4.311697904163974E-2</v>
      </c>
      <c r="D11" s="41">
        <f>IFERROR('Income Statement'!D15/'Income Statement'!D11,0)</f>
        <v>4.7029474950588637E-2</v>
      </c>
      <c r="E11" s="41">
        <f>IFERROR('Income Statement'!E15/'Income Statement'!E11,0)</f>
        <v>3.8262567105905317E-2</v>
      </c>
      <c r="F11" s="41">
        <f>IFERROR('Income Statement'!F15/'Income Statement'!F11,0)</f>
        <v>5.2864681492649827E-2</v>
      </c>
      <c r="G11" s="41">
        <f>IFERROR('Income Statement'!G15/'Income Statement'!G11,0)</f>
        <v>3.9983407153657786E-2</v>
      </c>
    </row>
    <row r="12" spans="2:7" x14ac:dyDescent="0.3">
      <c r="B12" s="40" t="s">
        <v>68</v>
      </c>
      <c r="C12" s="41">
        <f>IFERROR('Income Statement'!C16/'Income Statement'!C11,0)</f>
        <v>-3.2443910996214569E-2</v>
      </c>
      <c r="D12" s="41">
        <f>IFERROR('Income Statement'!D16/'Income Statement'!D11,0)</f>
        <v>2.1294147976282547E-2</v>
      </c>
      <c r="E12" s="41">
        <f>IFERROR('Income Statement'!E16/'Income Statement'!E11,0)</f>
        <v>4.6852122986822841E-4</v>
      </c>
      <c r="F12" s="41">
        <f>IFERROR('Income Statement'!F16/'Income Statement'!F11,0)</f>
        <v>-1.3239728609121749E-2</v>
      </c>
      <c r="G12" s="41">
        <f>IFERROR('Income Statement'!G16/'Income Statement'!G11,0)</f>
        <v>-3.5594331669588255E-3</v>
      </c>
    </row>
    <row r="13" spans="2:7" x14ac:dyDescent="0.3">
      <c r="B13" s="40" t="s">
        <v>69</v>
      </c>
      <c r="C13" s="41">
        <f>IFERROR('Income Statement'!C17/'Income Statement'!C11,0)</f>
        <v>7.2384821346136094E-3</v>
      </c>
      <c r="D13" s="41">
        <f>IFERROR('Income Statement'!D17/'Income Statement'!D11,0)</f>
        <v>6.7715046833376298E-3</v>
      </c>
      <c r="E13" s="41">
        <f>IFERROR('Income Statement'!E17/'Income Statement'!E11,0)</f>
        <v>8.2186432406051741E-3</v>
      </c>
      <c r="F13" s="41">
        <f>IFERROR('Income Statement'!F17/'Income Statement'!F11,0)</f>
        <v>8.8893077019726093E-3</v>
      </c>
      <c r="G13" s="41">
        <f>IFERROR('Income Statement'!G17/'Income Statement'!G11,0)</f>
        <v>9.0457775220457379E-3</v>
      </c>
    </row>
    <row r="14" spans="2:7" x14ac:dyDescent="0.3">
      <c r="B14" s="40" t="s">
        <v>70</v>
      </c>
      <c r="C14" s="41">
        <f>IFERROR('Income Statement'!C18/'Income Statement'!C11,0)</f>
        <v>6.0086787923552765E-2</v>
      </c>
      <c r="D14" s="41">
        <f>IFERROR('Income Statement'!D18/'Income Statement'!D11,0)</f>
        <v>6.7835352754146261E-2</v>
      </c>
      <c r="E14" s="41">
        <f>IFERROR('Income Statement'!E18/'Income Statement'!E11,0)</f>
        <v>8.648121034651049E-2</v>
      </c>
      <c r="F14" s="41">
        <f>IFERROR('Income Statement'!F18/'Income Statement'!F11,0)</f>
        <v>7.0470536499560241E-2</v>
      </c>
      <c r="G14" s="41">
        <f>IFERROR('Income Statement'!G18/'Income Statement'!G11,0)</f>
        <v>6.7120739719795E-2</v>
      </c>
    </row>
    <row r="15" spans="2:7" x14ac:dyDescent="0.3">
      <c r="B15" s="42" t="s">
        <v>71</v>
      </c>
      <c r="C15" s="43">
        <f>IFERROR('Income Statement'!C19/'Income Statement'!C11,0)</f>
        <v>0.9679253993167759</v>
      </c>
      <c r="D15" s="43">
        <f>IFERROR('Income Statement'!D19/'Income Statement'!D11,0)</f>
        <v>0.98352513534416097</v>
      </c>
      <c r="E15" s="43">
        <f>IFERROR('Income Statement'!E19/'Income Statement'!E11,0)</f>
        <v>0.97854563201561739</v>
      </c>
      <c r="F15" s="43">
        <f>IFERROR('Income Statement'!F19/'Income Statement'!F11,0)</f>
        <v>0.96102525442894837</v>
      </c>
      <c r="G15" s="43">
        <f>IFERROR('Income Statement'!G19/'Income Statement'!G11,0)</f>
        <v>0.97147743239084194</v>
      </c>
    </row>
    <row r="16" spans="2:7" x14ac:dyDescent="0.3">
      <c r="B16" s="42" t="s">
        <v>126</v>
      </c>
      <c r="C16" s="43">
        <f>IFERROR('Income Statement'!C21/'Income Statement'!C11,0)</f>
        <v>3.2074600683224076E-2</v>
      </c>
      <c r="D16" s="43">
        <f>IFERROR('Income Statement'!D21/'Income Statement'!D11,0)</f>
        <v>1.6474864655839073E-2</v>
      </c>
      <c r="E16" s="43">
        <f>IFERROR('Income Statement'!E21/'Income Statement'!E11,0)</f>
        <v>2.1454367984382626E-2</v>
      </c>
      <c r="F16" s="43">
        <f>IFERROR('Income Statement'!F21/'Income Statement'!F11,0)</f>
        <v>3.8974745571051614E-2</v>
      </c>
      <c r="G16" s="43">
        <f>IFERROR('Income Statement'!G21/'Income Statement'!G11,0)</f>
        <v>2.8522567609158042E-2</v>
      </c>
    </row>
    <row r="17" spans="2:7" x14ac:dyDescent="0.3">
      <c r="B17" s="40" t="s">
        <v>127</v>
      </c>
      <c r="C17" s="41">
        <f>IFERROR('Income Statement'!C24/'Income Statement'!C11,0)</f>
        <v>3.1760686917182163E-3</v>
      </c>
      <c r="D17" s="41">
        <f>IFERROR('Income Statement'!D24/'Income Statement'!D11,0)</f>
        <v>1.6516284265704218E-2</v>
      </c>
      <c r="E17" s="41">
        <f>IFERROR('Income Statement'!E24/'Income Statement'!E11,0)</f>
        <v>4.685212298682284E-3</v>
      </c>
      <c r="F17" s="41">
        <f>IFERROR('Income Statement'!F24/'Income Statement'!F11,0)</f>
        <v>3.659379319009926E-3</v>
      </c>
      <c r="G17" s="41">
        <f>IFERROR('Income Statement'!G24/'Income Statement'!G11,0)</f>
        <v>5.2454804565709012E-3</v>
      </c>
    </row>
    <row r="18" spans="2:7" x14ac:dyDescent="0.3">
      <c r="B18" s="42" t="s">
        <v>75</v>
      </c>
      <c r="C18" s="43">
        <f>IFERROR('Income Statement'!C25/'Income Statement'!C11,0)</f>
        <v>3.5250669374942298E-2</v>
      </c>
      <c r="D18" s="43">
        <f>IFERROR('Income Statement'!D25/'Income Statement'!D11,0)</f>
        <v>3.2991148921543291E-2</v>
      </c>
      <c r="E18" s="43">
        <f>IFERROR('Income Statement'!E25/'Income Statement'!E11,0)</f>
        <v>2.6139580283064911E-2</v>
      </c>
      <c r="F18" s="43">
        <f>IFERROR('Income Statement'!F25/'Income Statement'!F11,0)</f>
        <v>4.2634124890061541E-2</v>
      </c>
      <c r="G18" s="43">
        <f>IFERROR('Income Statement'!G25/'Income Statement'!G11,0)</f>
        <v>3.3768048065728938E-2</v>
      </c>
    </row>
    <row r="19" spans="2:7" x14ac:dyDescent="0.3">
      <c r="B19" s="40" t="s">
        <v>128</v>
      </c>
      <c r="C19" s="41">
        <f>IFERROR('Income Statement'!C26/'Income Statement'!C11,0)</f>
        <v>9.9898439663927609E-3</v>
      </c>
      <c r="D19" s="41">
        <f>IFERROR('Income Statement'!D26/'Income Statement'!D11,0)</f>
        <v>1.3319584085245337E-2</v>
      </c>
      <c r="E19" s="41">
        <f>IFERROR('Income Statement'!E26/'Income Statement'!E11,0)</f>
        <v>1.4621766715470962E-2</v>
      </c>
      <c r="F19" s="41">
        <f>IFERROR('Income Statement'!F26/'Income Statement'!F11,0)</f>
        <v>1.1370775223017967E-2</v>
      </c>
      <c r="G19" s="41">
        <f>IFERROR('Income Statement'!G26/'Income Statement'!G11,0)</f>
        <v>9.46059868060109E-3</v>
      </c>
    </row>
    <row r="20" spans="2:7" x14ac:dyDescent="0.3">
      <c r="B20" s="40" t="s">
        <v>129</v>
      </c>
      <c r="C20" s="41">
        <f>IFERROR('Income Statement'!C27/'Income Statement'!C11,0)</f>
        <v>5.7058443357030746E-3</v>
      </c>
      <c r="D20" s="41">
        <f>IFERROR('Income Statement'!D27/'Income Statement'!D11,0)</f>
        <v>6.1527885193778465E-3</v>
      </c>
      <c r="E20" s="41">
        <f>IFERROR('Income Statement'!E27/'Income Statement'!E11,0)</f>
        <v>7.1059053196681305E-3</v>
      </c>
      <c r="F20" s="41">
        <f>IFERROR('Income Statement'!F27/'Income Statement'!F11,0)</f>
        <v>6.203668802613394E-3</v>
      </c>
      <c r="G20" s="41">
        <f>IFERROR('Income Statement'!G27/'Income Statement'!G11,0)</f>
        <v>6.0082161352049352E-3</v>
      </c>
    </row>
    <row r="21" spans="2:7" x14ac:dyDescent="0.3">
      <c r="B21" s="42" t="s">
        <v>130</v>
      </c>
      <c r="C21" s="43">
        <f>IFERROR('Income Statement'!C28/'Income Statement'!C11,0)</f>
        <v>1.9554981072846461E-2</v>
      </c>
      <c r="D21" s="43">
        <f>IFERROR('Income Statement'!D28/'Income Statement'!D11,0)</f>
        <v>1.3518776316920108E-2</v>
      </c>
      <c r="E21" s="43">
        <f>IFERROR('Income Statement'!E28/'Income Statement'!E11,0)</f>
        <v>4.4119082479258179E-3</v>
      </c>
      <c r="F21" s="43">
        <f>IFERROR('Income Statement'!F28/'Income Statement'!F11,0)</f>
        <v>2.5059680864430181E-2</v>
      </c>
      <c r="G21" s="43">
        <f>IFERROR('Income Statement'!G28/'Income Statement'!G11,0)</f>
        <v>1.8299233249922917E-2</v>
      </c>
    </row>
    <row r="22" spans="2:7" x14ac:dyDescent="0.3">
      <c r="B22" s="40" t="s">
        <v>131</v>
      </c>
      <c r="C22" s="41">
        <f>IFERROR('Income Statement'!C30/'Income Statement'!C11,0)</f>
        <v>5.2798448896685442E-3</v>
      </c>
      <c r="D22" s="41">
        <f>IFERROR('Income Statement'!D30/'Income Statement'!D11,0)</f>
        <v>4.0732147460685745E-3</v>
      </c>
      <c r="E22" s="41">
        <f>IFERROR('Income Statement'!E30/'Income Statement'!E11,0)</f>
        <v>1.7901415324548561E-3</v>
      </c>
      <c r="F22" s="41">
        <f>IFERROR('Income Statement'!F30/'Income Statement'!F11,0)</f>
        <v>6.7847719562759137E-3</v>
      </c>
      <c r="G22" s="41">
        <f>IFERROR('Income Statement'!G30/'Income Statement'!G11,0)</f>
        <v>5.1218369886660156E-3</v>
      </c>
    </row>
    <row r="23" spans="2:7" x14ac:dyDescent="0.3">
      <c r="B23" s="42" t="s">
        <v>132</v>
      </c>
      <c r="C23" s="43">
        <f>IFERROR('Income Statement'!C31/'Income Statement'!C11,0)</f>
        <v>1.4275136183177915E-2</v>
      </c>
      <c r="D23" s="43">
        <f>IFERROR('Income Statement'!D31/'Income Statement'!D11,0)</f>
        <v>9.4455615708515343E-3</v>
      </c>
      <c r="E23" s="43">
        <f>IFERROR('Income Statement'!E31/'Income Statement'!E11,0)</f>
        <v>2.6217667154709618E-3</v>
      </c>
      <c r="F23" s="43">
        <f>IFERROR('Income Statement'!F31/'Income Statement'!F11,0)</f>
        <v>1.8274908908154266E-2</v>
      </c>
      <c r="G23" s="43">
        <f>IFERROR('Income Statement'!G31/'Income Statement'!G11,0)</f>
        <v>1.3177396261256902E-2</v>
      </c>
    </row>
    <row r="25" spans="2:7" x14ac:dyDescent="0.3">
      <c r="B25" s="38" t="s">
        <v>133</v>
      </c>
      <c r="C25" s="39"/>
      <c r="D25" s="39"/>
      <c r="E25" s="39"/>
      <c r="F25" s="39"/>
      <c r="G25" s="39"/>
    </row>
    <row r="26" spans="2:7" x14ac:dyDescent="0.3">
      <c r="B26" s="40" t="s">
        <v>89</v>
      </c>
      <c r="C26" s="41">
        <f>IFERROR('Balance Sheet'!C11/'Balance Sheet'!C41,0)</f>
        <v>6.0984191021250644E-3</v>
      </c>
      <c r="D26" s="41">
        <f>IFERROR('Balance Sheet'!D11/'Balance Sheet'!D41,0)</f>
        <v>6.1963775023832221E-3</v>
      </c>
      <c r="E26" s="41">
        <f>IFERROR('Balance Sheet'!E11/'Balance Sheet'!E41,0)</f>
        <v>6.5639327045422411E-3</v>
      </c>
      <c r="F26" s="41">
        <f>IFERROR('Balance Sheet'!F11/'Balance Sheet'!F41,0)</f>
        <v>5.7937375936022864E-3</v>
      </c>
      <c r="G26" s="41">
        <f>IFERROR('Balance Sheet'!G11/'Balance Sheet'!G41,0)</f>
        <v>5.2111589900369912E-3</v>
      </c>
    </row>
    <row r="27" spans="2:7" x14ac:dyDescent="0.3">
      <c r="B27" s="40" t="s">
        <v>90</v>
      </c>
      <c r="C27" s="41">
        <f>IFERROR('Balance Sheet'!C12/'Balance Sheet'!C41,0)</f>
        <v>0.35070600928836138</v>
      </c>
      <c r="D27" s="41">
        <f>IFERROR('Balance Sheet'!D12/'Balance Sheet'!D41,0)</f>
        <v>0.38303145853193515</v>
      </c>
      <c r="E27" s="41">
        <f>IFERROR('Balance Sheet'!E12/'Balance Sheet'!E41,0)</f>
        <v>0.41332579322602142</v>
      </c>
      <c r="F27" s="41">
        <f>IFERROR('Balance Sheet'!F12/'Balance Sheet'!F41,0)</f>
        <v>0.41420767073030501</v>
      </c>
      <c r="G27" s="41">
        <f>IFERROR('Balance Sheet'!G12/'Balance Sheet'!G41,0)</f>
        <v>0.41652914997109625</v>
      </c>
    </row>
    <row r="28" spans="2:7" x14ac:dyDescent="0.3">
      <c r="B28" s="42" t="s">
        <v>134</v>
      </c>
      <c r="C28" s="43">
        <f>IFERROR('Balance Sheet'!C13/'Balance Sheet'!C41,0)</f>
        <v>0.35680442839048648</v>
      </c>
      <c r="D28" s="43">
        <f>IFERROR('Balance Sheet'!D13/'Balance Sheet'!D41,0)</f>
        <v>0.38922783603431838</v>
      </c>
      <c r="E28" s="43">
        <f>IFERROR('Balance Sheet'!E13/'Balance Sheet'!E41,0)</f>
        <v>0.41988972593056367</v>
      </c>
      <c r="F28" s="43">
        <f>IFERROR('Balance Sheet'!F13/'Balance Sheet'!F41,0)</f>
        <v>0.42000140832390731</v>
      </c>
      <c r="G28" s="43">
        <f>IFERROR('Balance Sheet'!G13/'Balance Sheet'!G41,0)</f>
        <v>0.42174030896113324</v>
      </c>
    </row>
    <row r="29" spans="2:7" x14ac:dyDescent="0.3">
      <c r="B29" s="40" t="s">
        <v>93</v>
      </c>
      <c r="C29" s="41">
        <f>IFERROR('Balance Sheet'!C16/'Balance Sheet'!C41,0)</f>
        <v>2.1095839001735702E-3</v>
      </c>
      <c r="D29" s="41">
        <f>IFERROR('Balance Sheet'!D16/'Balance Sheet'!D41,0)</f>
        <v>0</v>
      </c>
      <c r="E29" s="41">
        <f>IFERROR('Balance Sheet'!E16/'Balance Sheet'!E41,0)</f>
        <v>0</v>
      </c>
      <c r="F29" s="41">
        <f>IFERROR('Balance Sheet'!F16/'Balance Sheet'!F41,0)</f>
        <v>8.3001976110191524E-3</v>
      </c>
      <c r="G29" s="41">
        <f>IFERROR('Balance Sheet'!G16/'Balance Sheet'!G41,0)</f>
        <v>1.5845155056217902E-2</v>
      </c>
    </row>
    <row r="30" spans="2:7" x14ac:dyDescent="0.3">
      <c r="B30" s="40" t="s">
        <v>95</v>
      </c>
      <c r="C30" s="41">
        <f>IFERROR('Balance Sheet'!C18/'Balance Sheet'!C41,0)</f>
        <v>4.7847727166111555E-2</v>
      </c>
      <c r="D30" s="41">
        <f>IFERROR('Balance Sheet'!D18/'Balance Sheet'!D41,0)</f>
        <v>5.3713536701620594E-2</v>
      </c>
      <c r="E30" s="41">
        <f>IFERROR('Balance Sheet'!E18/'Balance Sheet'!E41,0)</f>
        <v>5.4480641447700602E-2</v>
      </c>
      <c r="F30" s="41">
        <f>IFERROR('Balance Sheet'!F18/'Balance Sheet'!F41,0)</f>
        <v>5.7341512308127007E-2</v>
      </c>
      <c r="G30" s="41">
        <f>IFERROR('Balance Sheet'!G18/'Balance Sheet'!G41,0)</f>
        <v>7.6197647545483527E-2</v>
      </c>
    </row>
    <row r="31" spans="2:7" x14ac:dyDescent="0.3">
      <c r="B31" s="40" t="s">
        <v>97</v>
      </c>
      <c r="C31" s="41">
        <f>IFERROR('Balance Sheet'!C21/'Balance Sheet'!C41,0)</f>
        <v>0.11835624149739644</v>
      </c>
      <c r="D31" s="41">
        <f>IFERROR('Balance Sheet'!D21/'Balance Sheet'!D41,0)</f>
        <v>0.10605338417540515</v>
      </c>
      <c r="E31" s="41">
        <f>IFERROR('Balance Sheet'!E21/'Balance Sheet'!E41,0)</f>
        <v>0.12193767293438086</v>
      </c>
      <c r="F31" s="41">
        <f>IFERROR('Balance Sheet'!F21/'Balance Sheet'!F41,0)</f>
        <v>6.7991293349413173E-2</v>
      </c>
      <c r="G31" s="41">
        <f>IFERROR('Balance Sheet'!G21/'Balance Sheet'!G41,0)</f>
        <v>1.7206115880825237E-2</v>
      </c>
    </row>
    <row r="32" spans="2:7" x14ac:dyDescent="0.3">
      <c r="B32" s="40" t="s">
        <v>98</v>
      </c>
      <c r="C32" s="41">
        <f>IFERROR('Balance Sheet'!C22/'Balance Sheet'!C41,0)</f>
        <v>8.6316085753154762E-2</v>
      </c>
      <c r="D32" s="41">
        <f>IFERROR('Balance Sheet'!D22/'Balance Sheet'!D41,0)</f>
        <v>0.12764537654909439</v>
      </c>
      <c r="E32" s="41">
        <f>IFERROR('Balance Sheet'!E22/'Balance Sheet'!E41,0)</f>
        <v>0.14228586431846182</v>
      </c>
      <c r="F32" s="41">
        <f>IFERROR('Balance Sheet'!F22/'Balance Sheet'!F41,0)</f>
        <v>0.13172775494450933</v>
      </c>
      <c r="G32" s="41">
        <f>IFERROR('Balance Sheet'!G22/'Balance Sheet'!G41,0)</f>
        <v>0.1320564243289219</v>
      </c>
    </row>
    <row r="33" spans="1:7" x14ac:dyDescent="0.3">
      <c r="B33" s="42" t="s">
        <v>100</v>
      </c>
      <c r="C33" s="43">
        <f>IFERROR('Balance Sheet'!C24/'Balance Sheet'!C41,0)</f>
        <v>0.59534643711591684</v>
      </c>
      <c r="D33" s="43">
        <f>IFERROR('Balance Sheet'!D24/'Balance Sheet'!D41,0)</f>
        <v>0.5570543374642517</v>
      </c>
      <c r="E33" s="43">
        <f>IFERROR('Balance Sheet'!E24/'Balance Sheet'!E41,0)</f>
        <v>0.52561953426372865</v>
      </c>
      <c r="F33" s="43">
        <f>IFERROR('Balance Sheet'!F24/'Balance Sheet'!F41,0)</f>
        <v>0.52265128563037189</v>
      </c>
      <c r="G33" s="43">
        <f>IFERROR('Balance Sheet'!G24/'Balance Sheet'!G41,0)</f>
        <v>0.50206083159594372</v>
      </c>
    </row>
    <row r="35" spans="1:7" x14ac:dyDescent="0.3">
      <c r="B35" s="40" t="s">
        <v>104</v>
      </c>
      <c r="C35" s="41">
        <f>IFERROR('Balance Sheet'!C30/'Balance Sheet'!C41,0)</f>
        <v>0.20115400853778675</v>
      </c>
      <c r="D35" s="41">
        <f>IFERROR('Balance Sheet'!D30/'Balance Sheet'!D41,0)</f>
        <v>0.20657769304099141</v>
      </c>
      <c r="E35" s="41">
        <f>IFERROR('Balance Sheet'!E30/'Balance Sheet'!E41,0)</f>
        <v>0.22494092460565912</v>
      </c>
      <c r="F35" s="41">
        <f>IFERROR('Balance Sheet'!F30/'Balance Sheet'!F41,0)</f>
        <v>0.22254058067512192</v>
      </c>
      <c r="G35" s="41">
        <f>IFERROR('Balance Sheet'!G30/'Balance Sheet'!G41,0)</f>
        <v>0.24207126199324003</v>
      </c>
    </row>
    <row r="36" spans="1:7" x14ac:dyDescent="0.3">
      <c r="B36" s="42" t="s">
        <v>135</v>
      </c>
      <c r="C36" s="43">
        <f>IFERROR('Balance Sheet'!C32/'Balance Sheet'!C41,0)</f>
        <v>0.27841628747009428</v>
      </c>
      <c r="D36" s="43">
        <f>IFERROR('Balance Sheet'!D32/'Balance Sheet'!D41,0)</f>
        <v>0.30738798856053384</v>
      </c>
      <c r="E36" s="43">
        <f>IFERROR('Balance Sheet'!E32/'Balance Sheet'!E41,0)</f>
        <v>0.35789590612566397</v>
      </c>
      <c r="F36" s="43">
        <f>IFERROR('Balance Sheet'!F32/'Balance Sheet'!F41,0)</f>
        <v>0.34862701789195299</v>
      </c>
      <c r="G36" s="43">
        <f>IFERROR('Balance Sheet'!G32/'Balance Sheet'!G41,0)</f>
        <v>0.36756243392634169</v>
      </c>
    </row>
    <row r="37" spans="1:7" x14ac:dyDescent="0.3">
      <c r="B37" s="40" t="s">
        <v>107</v>
      </c>
      <c r="C37" s="41">
        <f>IFERROR('Balance Sheet'!C35/'Balance Sheet'!C41,0)</f>
        <v>0.36196462916920769</v>
      </c>
      <c r="D37" s="41">
        <f>IFERROR('Balance Sheet'!D35/'Balance Sheet'!D41,0)</f>
        <v>0.36611058150619635</v>
      </c>
      <c r="E37" s="41">
        <f>IFERROR('Balance Sheet'!E35/'Balance Sheet'!E41,0)</f>
        <v>0.36369236362167512</v>
      </c>
      <c r="F37" s="41">
        <f>IFERROR('Balance Sheet'!F35/'Balance Sheet'!F41,0)</f>
        <v>0.38511775994495057</v>
      </c>
      <c r="G37" s="41">
        <f>IFERROR('Balance Sheet'!G35/'Balance Sheet'!G41,0)</f>
        <v>0.33087708653392084</v>
      </c>
    </row>
    <row r="38" spans="1:7" x14ac:dyDescent="0.3">
      <c r="B38" s="40" t="s">
        <v>108</v>
      </c>
      <c r="C38" s="41">
        <f>IFERROR('Balance Sheet'!C36/'Balance Sheet'!C41,0)</f>
        <v>0.10404841206548764</v>
      </c>
      <c r="D38" s="41">
        <f>IFERROR('Balance Sheet'!D36/'Balance Sheet'!D41,0)</f>
        <v>9.2040038131553856E-2</v>
      </c>
      <c r="E38" s="41">
        <f>IFERROR('Balance Sheet'!E36/'Balance Sheet'!E41,0)</f>
        <v>8.9976369842263648E-2</v>
      </c>
      <c r="F38" s="41">
        <f>IFERROR('Balance Sheet'!F36/'Balance Sheet'!F41,0)</f>
        <v>0.10765432957096926</v>
      </c>
      <c r="G38" s="41">
        <f>IFERROR('Balance Sheet'!G36/'Balance Sheet'!G41,0)</f>
        <v>0.10601355628475874</v>
      </c>
    </row>
    <row r="39" spans="1:7" x14ac:dyDescent="0.3">
      <c r="B39" s="40" t="s">
        <v>109</v>
      </c>
      <c r="C39" s="41">
        <f>IFERROR('Balance Sheet'!C37/'Balance Sheet'!C41,0)</f>
        <v>5.957686353614486E-3</v>
      </c>
      <c r="D39" s="41">
        <f>IFERROR('Balance Sheet'!D37/'Balance Sheet'!D41,0)</f>
        <v>1.8779790276453767E-2</v>
      </c>
      <c r="E39" s="41">
        <f>IFERROR('Balance Sheet'!E37/'Balance Sheet'!E41,0)</f>
        <v>1.3026881829014602E-2</v>
      </c>
      <c r="F39" s="41">
        <f>IFERROR('Balance Sheet'!F37/'Balance Sheet'!F41,0)</f>
        <v>2.4199996256354165E-2</v>
      </c>
      <c r="G39" s="41">
        <f>IFERROR('Balance Sheet'!G37/'Balance Sheet'!G41,0)</f>
        <v>6.7745066870480888E-2</v>
      </c>
    </row>
    <row r="40" spans="1:7" x14ac:dyDescent="0.3">
      <c r="B40" s="42" t="s">
        <v>106</v>
      </c>
      <c r="C40" s="43">
        <f>IFERROR('Balance Sheet'!C39/'Balance Sheet'!C41,0)</f>
        <v>0.72158371252990572</v>
      </c>
      <c r="D40" s="43">
        <f>IFERROR('Balance Sheet'!D39/'Balance Sheet'!D41,0)</f>
        <v>0.69261201143946616</v>
      </c>
      <c r="E40" s="43">
        <f>IFERROR('Balance Sheet'!E39/'Balance Sheet'!E41,0)</f>
        <v>0.64210409387433598</v>
      </c>
      <c r="F40" s="43">
        <f>IFERROR('Balance Sheet'!F39/'Balance Sheet'!F41,0)</f>
        <v>0.65137298210804695</v>
      </c>
      <c r="G40" s="43">
        <f>IFERROR('Balance Sheet'!G39/'Balance Sheet'!G41,0)</f>
        <v>0.63243756607365842</v>
      </c>
    </row>
    <row r="42" spans="1:7" s="53" customFormat="1" ht="22.2" customHeight="1" x14ac:dyDescent="0.3">
      <c r="B42" s="54" t="s">
        <v>201</v>
      </c>
    </row>
    <row r="44" spans="1:7" ht="30" customHeight="1" x14ac:dyDescent="0.3">
      <c r="A44" s="91"/>
      <c r="B44" s="91"/>
      <c r="C44" s="91"/>
      <c r="D44" s="91"/>
      <c r="E44" s="91"/>
      <c r="F44" s="91"/>
      <c r="G44" s="91"/>
    </row>
  </sheetData>
  <mergeCells count="4">
    <mergeCell ref="B2:G2"/>
    <mergeCell ref="B4:G4"/>
    <mergeCell ref="A44:G44"/>
    <mergeCell ref="B3:G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235"/>
  </sheetPr>
  <dimension ref="A2:K30"/>
  <sheetViews>
    <sheetView showGridLines="0" zoomScaleNormal="100" workbookViewId="0">
      <pane xSplit="2" ySplit="6" topLeftCell="C20" activePane="bottomRight" state="frozen"/>
      <selection pane="topRight" activeCell="C1" sqref="C1"/>
      <selection pane="bottomLeft" activeCell="A6" sqref="A6"/>
      <selection pane="bottomRight" activeCell="O15" sqref="O15"/>
    </sheetView>
  </sheetViews>
  <sheetFormatPr defaultColWidth="8.6640625" defaultRowHeight="14.4" x14ac:dyDescent="0.3"/>
  <cols>
    <col min="1" max="1" width="2" customWidth="1"/>
    <col min="2" max="2" width="32" customWidth="1"/>
    <col min="3" max="6" width="12" customWidth="1"/>
    <col min="7" max="7" width="11.77734375" customWidth="1"/>
    <col min="8" max="10" width="11" customWidth="1"/>
    <col min="11" max="11" width="11.109375" customWidth="1"/>
  </cols>
  <sheetData>
    <row r="2" spans="2:11" ht="25.5" customHeight="1" x14ac:dyDescent="0.3">
      <c r="B2" s="77" t="s">
        <v>246</v>
      </c>
      <c r="C2" s="77"/>
      <c r="D2" s="77"/>
      <c r="E2" s="77"/>
      <c r="F2" s="77"/>
      <c r="G2" s="77"/>
      <c r="H2" s="77"/>
      <c r="I2" s="77"/>
      <c r="J2" s="77"/>
      <c r="K2" s="77"/>
    </row>
    <row r="3" spans="2:11" ht="25.5" customHeight="1" x14ac:dyDescent="0.3">
      <c r="B3" s="77" t="s">
        <v>202</v>
      </c>
      <c r="C3" s="77"/>
      <c r="D3" s="77"/>
      <c r="E3" s="77"/>
      <c r="F3" s="77"/>
      <c r="G3" s="77"/>
      <c r="H3" s="77"/>
      <c r="I3" s="77"/>
      <c r="J3" s="77"/>
      <c r="K3" s="77"/>
    </row>
    <row r="4" spans="2:11" x14ac:dyDescent="0.3">
      <c r="B4" s="78" t="s">
        <v>136</v>
      </c>
      <c r="C4" s="78"/>
      <c r="D4" s="78"/>
      <c r="E4" s="78"/>
      <c r="F4" s="78"/>
      <c r="G4" s="78"/>
      <c r="H4" s="78"/>
      <c r="I4" s="78"/>
      <c r="J4" s="78"/>
      <c r="K4" s="78"/>
    </row>
    <row r="6" spans="2:11" ht="60" customHeight="1" x14ac:dyDescent="0.3">
      <c r="B6" s="37" t="s">
        <v>50</v>
      </c>
      <c r="C6" s="55" t="s">
        <v>51</v>
      </c>
      <c r="D6" s="55" t="s">
        <v>52</v>
      </c>
      <c r="E6" s="55" t="s">
        <v>53</v>
      </c>
      <c r="F6" s="55" t="s">
        <v>54</v>
      </c>
      <c r="G6" s="55" t="s">
        <v>55</v>
      </c>
      <c r="H6" s="55" t="s">
        <v>248</v>
      </c>
      <c r="I6" s="55" t="s">
        <v>249</v>
      </c>
      <c r="J6" s="55" t="s">
        <v>250</v>
      </c>
      <c r="K6" s="55" t="s">
        <v>251</v>
      </c>
    </row>
    <row r="7" spans="2:11" x14ac:dyDescent="0.3">
      <c r="C7" s="7"/>
      <c r="D7" s="7"/>
      <c r="E7" s="7"/>
      <c r="F7" s="7"/>
      <c r="G7" s="7"/>
      <c r="H7" s="7"/>
      <c r="I7" s="7"/>
      <c r="J7" s="7"/>
      <c r="K7" s="7"/>
    </row>
    <row r="8" spans="2:11" x14ac:dyDescent="0.3">
      <c r="B8" s="38" t="s">
        <v>137</v>
      </c>
      <c r="C8" s="9"/>
      <c r="D8" s="9"/>
      <c r="E8" s="9"/>
      <c r="F8" s="9"/>
      <c r="G8" s="9"/>
      <c r="H8" s="9"/>
      <c r="I8" s="9"/>
      <c r="J8" s="9"/>
      <c r="K8" s="9"/>
    </row>
    <row r="9" spans="2:11" x14ac:dyDescent="0.3">
      <c r="B9" s="40" t="s">
        <v>125</v>
      </c>
      <c r="C9" s="56">
        <f>'Income Statement'!C10</f>
        <v>54155</v>
      </c>
      <c r="D9" s="56">
        <f>'Income Statement'!D10</f>
        <v>58185</v>
      </c>
      <c r="E9" s="56">
        <f>'Income Statement'!E10</f>
        <v>51225</v>
      </c>
      <c r="F9" s="56">
        <f>'Income Statement'!F10</f>
        <v>63672</v>
      </c>
      <c r="G9" s="56">
        <f>'Income Statement'!G10</f>
        <v>74731</v>
      </c>
      <c r="H9" s="57">
        <f>IFERROR((D9-C9)/ABS(C9),"n/m")</f>
        <v>7.4416028067583781E-2</v>
      </c>
      <c r="I9" s="57">
        <f>IFERROR((E9-D9)/ABS(D9),"n/m")</f>
        <v>-0.11961845836555814</v>
      </c>
      <c r="J9" s="57">
        <f t="shared" ref="H9:K15" si="0">IFERROR((F9-E9)/ABS(E9),"n/m")</f>
        <v>0.24298682284040996</v>
      </c>
      <c r="K9" s="57">
        <f t="shared" si="0"/>
        <v>0.17368702098253549</v>
      </c>
    </row>
    <row r="10" spans="2:11" x14ac:dyDescent="0.3">
      <c r="B10" s="40" t="s">
        <v>71</v>
      </c>
      <c r="C10" s="56">
        <f>'Income Statement'!C19</f>
        <v>52418</v>
      </c>
      <c r="D10" s="56">
        <f>'Income Statement'!D19</f>
        <v>57226.41</v>
      </c>
      <c r="E10" s="56">
        <f>'Income Statement'!E19</f>
        <v>50126</v>
      </c>
      <c r="F10" s="56">
        <f>'Income Statement'!F19</f>
        <v>61190.400000000001</v>
      </c>
      <c r="G10" s="56">
        <f>'Income Statement'!G19</f>
        <v>72599.48000000001</v>
      </c>
      <c r="H10" s="57">
        <f t="shared" si="0"/>
        <v>9.1732038612690359E-2</v>
      </c>
      <c r="I10" s="57">
        <f t="shared" si="0"/>
        <v>-0.12407575453361487</v>
      </c>
      <c r="J10" s="57">
        <f t="shared" si="0"/>
        <v>0.22073175597494318</v>
      </c>
      <c r="K10" s="57">
        <f t="shared" si="0"/>
        <v>0.1864521232088695</v>
      </c>
    </row>
    <row r="11" spans="2:11" x14ac:dyDescent="0.3">
      <c r="B11" s="42" t="s">
        <v>126</v>
      </c>
      <c r="C11" s="58">
        <f>'Income Statement'!C21</f>
        <v>1737</v>
      </c>
      <c r="D11" s="58">
        <f>'Income Statement'!D21</f>
        <v>958.58999999999651</v>
      </c>
      <c r="E11" s="58">
        <f>'Income Statement'!E21</f>
        <v>1099</v>
      </c>
      <c r="F11" s="58">
        <f>'Income Statement'!F21</f>
        <v>2481.5999999999985</v>
      </c>
      <c r="G11" s="58">
        <f>'Income Statement'!G21</f>
        <v>2131.5199999999895</v>
      </c>
      <c r="H11" s="59">
        <f t="shared" si="0"/>
        <v>-0.44813471502590874</v>
      </c>
      <c r="I11" s="59">
        <f t="shared" si="0"/>
        <v>0.14647555263460291</v>
      </c>
      <c r="J11" s="59">
        <f t="shared" si="0"/>
        <v>1.2580527752502262</v>
      </c>
      <c r="K11" s="59">
        <f t="shared" si="0"/>
        <v>-0.14107027724049373</v>
      </c>
    </row>
    <row r="12" spans="2:11" x14ac:dyDescent="0.3">
      <c r="B12" s="42" t="s">
        <v>75</v>
      </c>
      <c r="C12" s="58">
        <f>'Income Statement'!C25</f>
        <v>1909</v>
      </c>
      <c r="D12" s="58">
        <f>'Income Statement'!D25</f>
        <v>1919.5899999999965</v>
      </c>
      <c r="E12" s="58">
        <f>'Income Statement'!E25</f>
        <v>1339</v>
      </c>
      <c r="F12" s="58">
        <f>'Income Statement'!F25</f>
        <v>2714.5999999999985</v>
      </c>
      <c r="G12" s="58">
        <f>'Income Statement'!G25</f>
        <v>2523.5199999999895</v>
      </c>
      <c r="H12" s="59">
        <f t="shared" si="0"/>
        <v>5.547407019380046E-3</v>
      </c>
      <c r="I12" s="59">
        <f t="shared" si="0"/>
        <v>-0.30245521179001639</v>
      </c>
      <c r="J12" s="59">
        <f t="shared" si="0"/>
        <v>1.0273338312173252</v>
      </c>
      <c r="K12" s="59">
        <f t="shared" si="0"/>
        <v>-7.0389744345394953E-2</v>
      </c>
    </row>
    <row r="13" spans="2:11" x14ac:dyDescent="0.3">
      <c r="B13" s="42" t="s">
        <v>130</v>
      </c>
      <c r="C13" s="58">
        <f>'Income Statement'!C28</f>
        <v>1059</v>
      </c>
      <c r="D13" s="58">
        <f>'Income Statement'!D28</f>
        <v>786.58999999999651</v>
      </c>
      <c r="E13" s="58">
        <f>'Income Statement'!E28</f>
        <v>226</v>
      </c>
      <c r="F13" s="58">
        <f>'Income Statement'!F28</f>
        <v>1595.5999999999985</v>
      </c>
      <c r="G13" s="58">
        <f>'Income Statement'!G28</f>
        <v>1367.5199999999895</v>
      </c>
      <c r="H13" s="59">
        <f t="shared" si="0"/>
        <v>-0.25723323890463029</v>
      </c>
      <c r="I13" s="59">
        <f t="shared" si="0"/>
        <v>-0.7126838632578586</v>
      </c>
      <c r="J13" s="59">
        <f t="shared" si="0"/>
        <v>6.0601769911504357</v>
      </c>
      <c r="K13" s="59">
        <f t="shared" si="0"/>
        <v>-0.14294309350715043</v>
      </c>
    </row>
    <row r="14" spans="2:11" x14ac:dyDescent="0.3">
      <c r="B14" s="42" t="s">
        <v>132</v>
      </c>
      <c r="C14" s="58">
        <f>'Income Statement'!C31</f>
        <v>773.06999999999994</v>
      </c>
      <c r="D14" s="58">
        <f>'Income Statement'!D31</f>
        <v>549.58999999999651</v>
      </c>
      <c r="E14" s="58">
        <f>'Income Statement'!E31</f>
        <v>134.30000000000001</v>
      </c>
      <c r="F14" s="58">
        <f>'Income Statement'!F31</f>
        <v>1163.5999999999985</v>
      </c>
      <c r="G14" s="58">
        <f>'Income Statement'!G31</f>
        <v>984.75999999998953</v>
      </c>
      <c r="H14" s="59">
        <f t="shared" si="0"/>
        <v>-0.28908119575200619</v>
      </c>
      <c r="I14" s="59">
        <f t="shared" si="0"/>
        <v>-0.75563601957822946</v>
      </c>
      <c r="J14" s="59">
        <f t="shared" si="0"/>
        <v>7.6641846612062432</v>
      </c>
      <c r="K14" s="59">
        <f t="shared" si="0"/>
        <v>-0.15369542798213237</v>
      </c>
    </row>
    <row r="15" spans="2:11" x14ac:dyDescent="0.3">
      <c r="B15" s="40" t="s">
        <v>138</v>
      </c>
      <c r="C15" s="60">
        <f>'Income Statement'!C35</f>
        <v>5.9380136723250629</v>
      </c>
      <c r="D15" s="60">
        <f>'Income Statement'!D35</f>
        <v>4.2182055414843544</v>
      </c>
      <c r="E15" s="60">
        <f>'Income Statement'!E35</f>
        <v>1.0307774963542868</v>
      </c>
      <c r="F15" s="60">
        <f>'Income Statement'!F35</f>
        <v>8.9493924011690389</v>
      </c>
      <c r="G15" s="60">
        <f>'Income Statement'!G35</f>
        <v>7.577408433364031</v>
      </c>
      <c r="H15" s="57">
        <f t="shared" si="0"/>
        <v>-0.28962683916611931</v>
      </c>
      <c r="I15" s="57">
        <f t="shared" si="0"/>
        <v>-0.75563601957822935</v>
      </c>
      <c r="J15" s="57">
        <f t="shared" si="0"/>
        <v>7.6821767382599688</v>
      </c>
      <c r="K15" s="57">
        <f t="shared" si="0"/>
        <v>-0.15330470564971413</v>
      </c>
    </row>
    <row r="16" spans="2:11" x14ac:dyDescent="0.3">
      <c r="C16" s="7"/>
      <c r="D16" s="7"/>
      <c r="E16" s="7"/>
      <c r="F16" s="7"/>
      <c r="G16" s="7"/>
      <c r="H16" s="7"/>
      <c r="I16" s="7"/>
      <c r="J16" s="7"/>
      <c r="K16" s="7"/>
    </row>
    <row r="17" spans="1:11" x14ac:dyDescent="0.3">
      <c r="B17" s="38" t="s">
        <v>139</v>
      </c>
      <c r="C17" s="9"/>
      <c r="D17" s="9"/>
      <c r="E17" s="9"/>
      <c r="F17" s="9"/>
      <c r="G17" s="9"/>
      <c r="H17" s="9"/>
      <c r="I17" s="9"/>
      <c r="J17" s="9"/>
      <c r="K17" s="9"/>
    </row>
    <row r="18" spans="1:11" x14ac:dyDescent="0.3">
      <c r="B18" s="42" t="s">
        <v>134</v>
      </c>
      <c r="C18" s="58">
        <f>'Balance Sheet'!C13</f>
        <v>7606</v>
      </c>
      <c r="D18" s="58">
        <f>'Balance Sheet'!D13</f>
        <v>8166</v>
      </c>
      <c r="E18" s="58">
        <f>'Balance Sheet'!E13</f>
        <v>8316</v>
      </c>
      <c r="F18" s="58">
        <f>'Balance Sheet'!F13</f>
        <v>9424</v>
      </c>
      <c r="G18" s="58">
        <f>'Balance Sheet'!G13</f>
        <v>10440</v>
      </c>
      <c r="H18" s="59">
        <f t="shared" ref="H18:K22" si="1">IFERROR((D18-C18)/ABS(C18),"n/m")</f>
        <v>7.3626084669997371E-2</v>
      </c>
      <c r="I18" s="59">
        <f t="shared" si="1"/>
        <v>1.8368846436443792E-2</v>
      </c>
      <c r="J18" s="59">
        <f t="shared" si="1"/>
        <v>0.13323713323713324</v>
      </c>
      <c r="K18" s="59">
        <f t="shared" si="1"/>
        <v>0.10780984719864177</v>
      </c>
    </row>
    <row r="19" spans="1:11" x14ac:dyDescent="0.3">
      <c r="B19" s="40" t="s">
        <v>140</v>
      </c>
      <c r="C19" s="56">
        <f>'Balance Sheet'!C16+'Balance Sheet'!C21</f>
        <v>2567.9699999999998</v>
      </c>
      <c r="D19" s="56">
        <f>'Balance Sheet'!D16+'Balance Sheet'!D21</f>
        <v>2225</v>
      </c>
      <c r="E19" s="56">
        <f>'Balance Sheet'!E16+'Balance Sheet'!E21</f>
        <v>2415</v>
      </c>
      <c r="F19" s="56">
        <f>'Balance Sheet'!F16+'Balance Sheet'!F21</f>
        <v>1711.83</v>
      </c>
      <c r="G19" s="56">
        <f>'Balance Sheet'!G16+'Balance Sheet'!G21</f>
        <v>818.17000000000007</v>
      </c>
      <c r="H19" s="57">
        <f t="shared" si="1"/>
        <v>-0.13355685619380281</v>
      </c>
      <c r="I19" s="57">
        <f t="shared" si="1"/>
        <v>8.5393258426966295E-2</v>
      </c>
      <c r="J19" s="57">
        <f t="shared" si="1"/>
        <v>-0.29116770186335406</v>
      </c>
      <c r="K19" s="57">
        <f t="shared" si="1"/>
        <v>-0.5220495025791112</v>
      </c>
    </row>
    <row r="20" spans="1:11" x14ac:dyDescent="0.3">
      <c r="B20" s="42" t="s">
        <v>141</v>
      </c>
      <c r="C20" s="58">
        <f>'Balance Sheet'!C41</f>
        <v>21317</v>
      </c>
      <c r="D20" s="58">
        <f>'Balance Sheet'!D41</f>
        <v>20980</v>
      </c>
      <c r="E20" s="58">
        <f>'Balance Sheet'!E41</f>
        <v>19805.2</v>
      </c>
      <c r="F20" s="58">
        <f>'Balance Sheet'!F41</f>
        <v>22438.020000000004</v>
      </c>
      <c r="G20" s="58">
        <f>'Balance Sheet'!G41</f>
        <v>24754.57</v>
      </c>
      <c r="H20" s="59">
        <f t="shared" si="1"/>
        <v>-1.5808978749354975E-2</v>
      </c>
      <c r="I20" s="59">
        <f t="shared" si="1"/>
        <v>-5.5996186844613882E-2</v>
      </c>
      <c r="J20" s="59">
        <f t="shared" si="1"/>
        <v>0.13293579463979174</v>
      </c>
      <c r="K20" s="59">
        <f t="shared" si="1"/>
        <v>0.10324217555737962</v>
      </c>
    </row>
    <row r="21" spans="1:11" x14ac:dyDescent="0.3">
      <c r="B21" s="40" t="s">
        <v>108</v>
      </c>
      <c r="C21" s="56">
        <f>'Balance Sheet'!C36</f>
        <v>2218</v>
      </c>
      <c r="D21" s="56">
        <f>'Balance Sheet'!D36</f>
        <v>1931</v>
      </c>
      <c r="E21" s="56">
        <f>'Balance Sheet'!E36</f>
        <v>1782</v>
      </c>
      <c r="F21" s="56">
        <f>'Balance Sheet'!F36</f>
        <v>2415.5500000000002</v>
      </c>
      <c r="G21" s="56">
        <f>'Balance Sheet'!G36</f>
        <v>2624.32</v>
      </c>
      <c r="H21" s="57">
        <f t="shared" si="1"/>
        <v>-0.12939585211902616</v>
      </c>
      <c r="I21" s="57">
        <f t="shared" si="1"/>
        <v>-7.7162092180217509E-2</v>
      </c>
      <c r="J21" s="57">
        <f t="shared" si="1"/>
        <v>0.35552749719416399</v>
      </c>
      <c r="K21" s="57">
        <f t="shared" si="1"/>
        <v>8.6427521682432562E-2</v>
      </c>
    </row>
    <row r="22" spans="1:11" x14ac:dyDescent="0.3">
      <c r="B22" s="40" t="s">
        <v>107</v>
      </c>
      <c r="C22" s="56">
        <f>'Balance Sheet'!C35</f>
        <v>7716</v>
      </c>
      <c r="D22" s="56">
        <f>'Balance Sheet'!D35</f>
        <v>7681</v>
      </c>
      <c r="E22" s="56">
        <f>'Balance Sheet'!E35</f>
        <v>7203</v>
      </c>
      <c r="F22" s="56">
        <f>'Balance Sheet'!F35</f>
        <v>8641.2800000000007</v>
      </c>
      <c r="G22" s="56">
        <f>'Balance Sheet'!G35</f>
        <v>8190.72</v>
      </c>
      <c r="H22" s="57">
        <f t="shared" si="1"/>
        <v>-4.5360290305857956E-3</v>
      </c>
      <c r="I22" s="57">
        <f t="shared" si="1"/>
        <v>-6.2231480276005731E-2</v>
      </c>
      <c r="J22" s="57">
        <f t="shared" si="1"/>
        <v>0.19967791198111906</v>
      </c>
      <c r="K22" s="57">
        <f t="shared" si="1"/>
        <v>-5.2140423640942124E-2</v>
      </c>
    </row>
    <row r="23" spans="1:11" x14ac:dyDescent="0.3">
      <c r="C23" s="7"/>
      <c r="D23" s="7"/>
      <c r="E23" s="7"/>
      <c r="F23" s="7"/>
      <c r="G23" s="7"/>
      <c r="H23" s="7"/>
      <c r="I23" s="7"/>
      <c r="J23" s="7"/>
      <c r="K23" s="7"/>
    </row>
    <row r="24" spans="1:11" x14ac:dyDescent="0.3">
      <c r="B24" s="38" t="s">
        <v>142</v>
      </c>
      <c r="C24" s="9"/>
      <c r="D24" s="9"/>
      <c r="E24" s="9"/>
      <c r="F24" s="9"/>
      <c r="G24" s="9"/>
      <c r="H24" s="9"/>
      <c r="I24" s="9"/>
      <c r="J24" s="9"/>
      <c r="K24" s="9"/>
    </row>
    <row r="25" spans="1:11" x14ac:dyDescent="0.3">
      <c r="B25" s="42" t="s">
        <v>143</v>
      </c>
      <c r="C25" s="58">
        <f>'Cash Flow Statement'!C9</f>
        <v>1198</v>
      </c>
      <c r="D25" s="58">
        <f>'Cash Flow Statement'!D9</f>
        <v>663</v>
      </c>
      <c r="E25" s="58">
        <f>'Cash Flow Statement'!E9</f>
        <v>289</v>
      </c>
      <c r="F25" s="58">
        <f>'Cash Flow Statement'!F9</f>
        <v>2150</v>
      </c>
      <c r="G25" s="58">
        <f>'Cash Flow Statement'!G9</f>
        <v>3928</v>
      </c>
      <c r="H25" s="59">
        <f t="shared" ref="H25:K26" si="2">IFERROR((D25-C25)/ABS(C25),"n/m")</f>
        <v>-0.44657762938230383</v>
      </c>
      <c r="I25" s="59">
        <f t="shared" si="2"/>
        <v>-0.5641025641025641</v>
      </c>
      <c r="J25" s="59">
        <f t="shared" si="2"/>
        <v>6.4394463667820068</v>
      </c>
      <c r="K25" s="59">
        <f t="shared" si="2"/>
        <v>0.8269767441860465</v>
      </c>
    </row>
    <row r="26" spans="1:11" x14ac:dyDescent="0.3">
      <c r="B26" s="40" t="s">
        <v>144</v>
      </c>
      <c r="C26" s="56">
        <f>'Cash Flow Statement'!C15</f>
        <v>663</v>
      </c>
      <c r="D26" s="56">
        <f>'Cash Flow Statement'!D15</f>
        <v>-11</v>
      </c>
      <c r="E26" s="56">
        <f>'Cash Flow Statement'!E15</f>
        <v>-641</v>
      </c>
      <c r="F26" s="56">
        <f>'Cash Flow Statement'!F15</f>
        <v>1190</v>
      </c>
      <c r="G26" s="56">
        <f>'Cash Flow Statement'!G15</f>
        <v>3104</v>
      </c>
      <c r="H26" s="57">
        <f t="shared" si="2"/>
        <v>-1.0165912518853695</v>
      </c>
      <c r="I26" s="57">
        <f>IFERROR((E26-D26)/ABS(D26),"n/m")</f>
        <v>-57.272727272727273</v>
      </c>
      <c r="J26" s="57">
        <f t="shared" si="2"/>
        <v>2.8564742589703589</v>
      </c>
      <c r="K26" s="57">
        <f t="shared" si="2"/>
        <v>1.6084033613445379</v>
      </c>
    </row>
    <row r="28" spans="1:11" ht="22.35" customHeight="1" x14ac:dyDescent="0.3">
      <c r="B28" s="92" t="s">
        <v>203</v>
      </c>
      <c r="C28" s="92"/>
      <c r="D28" s="92"/>
      <c r="E28" s="92"/>
      <c r="F28" s="92"/>
      <c r="G28" s="92"/>
      <c r="H28" s="92"/>
      <c r="I28" s="92"/>
      <c r="J28" s="92"/>
    </row>
    <row r="30" spans="1:11" ht="30" customHeight="1" x14ac:dyDescent="0.3">
      <c r="A30" s="92"/>
      <c r="B30" s="92"/>
      <c r="C30" s="92"/>
      <c r="D30" s="92"/>
      <c r="E30" s="92"/>
      <c r="F30" s="92"/>
      <c r="G30" s="92"/>
      <c r="H30" s="92"/>
      <c r="I30" s="92"/>
      <c r="J30" s="92"/>
    </row>
  </sheetData>
  <mergeCells count="5">
    <mergeCell ref="B2:K2"/>
    <mergeCell ref="B3:K3"/>
    <mergeCell ref="B4:K4"/>
    <mergeCell ref="B28:J28"/>
    <mergeCell ref="A30:J30"/>
  </mergeCells>
  <pageMargins left="0.75" right="0.75" top="1" bottom="1" header="0.511811023622047" footer="0.511811023622047"/>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F8F00"/>
  </sheetPr>
  <dimension ref="B2:H39"/>
  <sheetViews>
    <sheetView showGridLines="0" zoomScaleNormal="100" workbookViewId="0">
      <pane xSplit="2" ySplit="6" topLeftCell="C18" activePane="bottomRight" state="frozen"/>
      <selection pane="topRight" activeCell="C1" sqref="C1"/>
      <selection pane="bottomLeft" activeCell="A6" sqref="A6"/>
      <selection pane="bottomRight" activeCell="D25" sqref="D25"/>
    </sheetView>
  </sheetViews>
  <sheetFormatPr defaultColWidth="8.6640625" defaultRowHeight="14.4" x14ac:dyDescent="0.3"/>
  <cols>
    <col min="1" max="1" width="2" customWidth="1"/>
    <col min="2" max="2" width="36.33203125" bestFit="1" customWidth="1"/>
    <col min="3" max="3" width="43.21875" bestFit="1" customWidth="1"/>
    <col min="4" max="8" width="14" customWidth="1"/>
    <col min="9" max="9" width="3" customWidth="1"/>
  </cols>
  <sheetData>
    <row r="2" spans="2:8" ht="25.5" customHeight="1" x14ac:dyDescent="0.3">
      <c r="B2" s="77" t="s">
        <v>246</v>
      </c>
      <c r="C2" s="77"/>
      <c r="D2" s="77"/>
      <c r="E2" s="77"/>
      <c r="F2" s="77"/>
      <c r="G2" s="77"/>
      <c r="H2" s="77"/>
    </row>
    <row r="3" spans="2:8" ht="25.5" customHeight="1" x14ac:dyDescent="0.3">
      <c r="B3" s="77" t="s">
        <v>204</v>
      </c>
      <c r="C3" s="77"/>
      <c r="D3" s="77"/>
      <c r="E3" s="77"/>
      <c r="F3" s="77"/>
      <c r="G3" s="77"/>
      <c r="H3" s="77"/>
    </row>
    <row r="4" spans="2:8" x14ac:dyDescent="0.3">
      <c r="B4" s="78" t="s">
        <v>145</v>
      </c>
      <c r="C4" s="78"/>
      <c r="D4" s="78"/>
      <c r="E4" s="78"/>
      <c r="F4" s="78"/>
      <c r="G4" s="78"/>
      <c r="H4" s="78"/>
    </row>
    <row r="5" spans="2:8" ht="10.199999999999999" customHeight="1" x14ac:dyDescent="0.3"/>
    <row r="6" spans="2:8" ht="21.75" customHeight="1" x14ac:dyDescent="0.3">
      <c r="B6" s="37" t="s">
        <v>146</v>
      </c>
      <c r="C6" s="37" t="s">
        <v>205</v>
      </c>
      <c r="D6" s="37" t="s">
        <v>51</v>
      </c>
      <c r="E6" s="37" t="s">
        <v>52</v>
      </c>
      <c r="F6" s="37" t="s">
        <v>53</v>
      </c>
      <c r="G6" s="37" t="s">
        <v>54</v>
      </c>
      <c r="H6" s="37" t="s">
        <v>55</v>
      </c>
    </row>
    <row r="7" spans="2:8" x14ac:dyDescent="0.3">
      <c r="D7" s="7"/>
      <c r="E7" s="7"/>
      <c r="F7" s="7"/>
      <c r="G7" s="7"/>
      <c r="H7" s="7"/>
    </row>
    <row r="8" spans="2:8" x14ac:dyDescent="0.3">
      <c r="B8" s="38" t="s">
        <v>147</v>
      </c>
      <c r="C8" s="38"/>
      <c r="D8" s="9"/>
      <c r="E8" s="9"/>
      <c r="F8" s="9"/>
      <c r="G8" s="9"/>
      <c r="H8" s="9"/>
    </row>
    <row r="9" spans="2:8" x14ac:dyDescent="0.3">
      <c r="B9" s="40" t="s">
        <v>174</v>
      </c>
      <c r="C9" s="40" t="s">
        <v>208</v>
      </c>
      <c r="D9" s="61">
        <f>'Balance Sheet'!C39/'Balance Sheet'!C24</f>
        <v>1.2120400283665589</v>
      </c>
      <c r="E9" s="61">
        <f>'Balance Sheet'!D39/'Balance Sheet'!D24</f>
        <v>1.2433473089757852</v>
      </c>
      <c r="F9" s="61">
        <f>'Balance Sheet'!E39/'Balance Sheet'!E24</f>
        <v>1.2216138328530259</v>
      </c>
      <c r="G9" s="61">
        <f>'Balance Sheet'!F39/'Balance Sheet'!F24</f>
        <v>1.2462860037212444</v>
      </c>
      <c r="H9" s="61">
        <f>'Balance Sheet'!G39/'Balance Sheet'!G24</f>
        <v>1.2596831425054109</v>
      </c>
    </row>
    <row r="10" spans="2:8" x14ac:dyDescent="0.3">
      <c r="B10" s="40" t="s">
        <v>206</v>
      </c>
      <c r="C10" s="40" t="s">
        <v>219</v>
      </c>
      <c r="D10" s="61">
        <f>('Balance Sheet'!C39-'Balance Sheet'!C35)/'Balance Sheet'!C24</f>
        <v>0.60405011425419586</v>
      </c>
      <c r="E10" s="61">
        <f>('Balance Sheet'!D39-'Balance Sheet'!D35)/'Balance Sheet'!D24</f>
        <v>0.58612133139385647</v>
      </c>
      <c r="F10" s="61">
        <f>('Balance Sheet'!E39-'Balance Sheet'!E35)/'Balance Sheet'!E24</f>
        <v>0.52968299711815559</v>
      </c>
      <c r="G10" s="61">
        <f>('Balance Sheet'!F39-'Balance Sheet'!F35)/'Balance Sheet'!F24</f>
        <v>0.50943187070125517</v>
      </c>
      <c r="H10" s="61">
        <f>('Balance Sheet'!G39-'Balance Sheet'!G35)/'Balance Sheet'!G24</f>
        <v>0.6006453014491121</v>
      </c>
    </row>
    <row r="11" spans="2:8" x14ac:dyDescent="0.3">
      <c r="B11" s="40" t="s">
        <v>207</v>
      </c>
      <c r="C11" s="40" t="s">
        <v>218</v>
      </c>
      <c r="D11" s="61">
        <f>'Balance Sheet'!C37/'Balance Sheet'!C24</f>
        <v>1.0007091639744701E-2</v>
      </c>
      <c r="E11" s="61">
        <f>'Balance Sheet'!D37/'Balance Sheet'!D24</f>
        <v>3.3712672199880209E-2</v>
      </c>
      <c r="F11" s="61">
        <f>'Balance Sheet'!E37/'Balance Sheet'!E24</f>
        <v>2.4783861671469742E-2</v>
      </c>
      <c r="G11" s="61">
        <f>'Balance Sheet'!F37/'Balance Sheet'!F24</f>
        <v>4.6302375832035787E-2</v>
      </c>
      <c r="H11" s="61">
        <f>'Balance Sheet'!G37/'Balance Sheet'!G24</f>
        <v>0.13493398131683335</v>
      </c>
    </row>
    <row r="12" spans="2:8" x14ac:dyDescent="0.3">
      <c r="B12" s="40" t="s">
        <v>209</v>
      </c>
      <c r="C12" s="40" t="s">
        <v>217</v>
      </c>
      <c r="D12" s="62">
        <f>'Balance Sheet'!C39-'Balance Sheet'!C24</f>
        <v>2691</v>
      </c>
      <c r="E12" s="62">
        <f>'Balance Sheet'!D39-'Balance Sheet'!D24</f>
        <v>2844</v>
      </c>
      <c r="F12" s="62">
        <f>'Balance Sheet'!E39-'Balance Sheet'!E24</f>
        <v>2307</v>
      </c>
      <c r="G12" s="62">
        <f>'Balance Sheet'!F39-'Balance Sheet'!F24</f>
        <v>2888.260000000002</v>
      </c>
      <c r="H12" s="62">
        <f>'Balance Sheet'!G39-'Balance Sheet'!G24</f>
        <v>3227.42</v>
      </c>
    </row>
    <row r="13" spans="2:8" x14ac:dyDescent="0.3">
      <c r="D13" s="7"/>
      <c r="E13" s="7"/>
      <c r="F13" s="7"/>
      <c r="G13" s="7"/>
      <c r="H13" s="7"/>
    </row>
    <row r="14" spans="2:8" x14ac:dyDescent="0.3">
      <c r="B14" s="38" t="s">
        <v>148</v>
      </c>
      <c r="C14" s="38"/>
      <c r="D14" s="9"/>
      <c r="E14" s="9"/>
      <c r="F14" s="9"/>
      <c r="G14" s="9"/>
      <c r="H14" s="9"/>
    </row>
    <row r="15" spans="2:8" x14ac:dyDescent="0.3">
      <c r="B15" s="40" t="s">
        <v>210</v>
      </c>
      <c r="C15" s="40" t="s">
        <v>231</v>
      </c>
      <c r="D15" s="57">
        <f>('Income Statement'!C11-('Income Statement'!C14+'Income Statement'!C15+'Income Statement'!C16))/'Income Statement'!C11</f>
        <v>9.939987074139045E-2</v>
      </c>
      <c r="E15" s="57">
        <f>('Income Statement'!D11-('Income Statement'!D14+'Income Statement'!D15+'Income Statement'!D16))/'Income Statement'!D11</f>
        <v>9.1081722093322964E-2</v>
      </c>
      <c r="F15" s="57">
        <f>('Income Statement'!E11-('Income Statement'!E14+'Income Statement'!E15+'Income Statement'!E16))/'Income Statement'!E11</f>
        <v>0.1161542215714983</v>
      </c>
      <c r="G15" s="57">
        <f>('Income Statement'!F11-('Income Statement'!F14+'Income Statement'!F15+'Income Statement'!F16))/'Income Statement'!F11</f>
        <v>0.11833458977258447</v>
      </c>
      <c r="H15" s="57">
        <f>('Income Statement'!G11-('Income Statement'!G14+'Income Statement'!G15+'Income Statement'!G16))/'Income Statement'!G11</f>
        <v>0.10468908485099877</v>
      </c>
    </row>
    <row r="16" spans="2:8" x14ac:dyDescent="0.3">
      <c r="B16" s="40" t="s">
        <v>149</v>
      </c>
      <c r="C16" s="40" t="s">
        <v>232</v>
      </c>
      <c r="D16" s="57">
        <f>'Income Statement'!C21/'Income Statement'!C11</f>
        <v>3.2074600683224076E-2</v>
      </c>
      <c r="E16" s="57">
        <f>'Income Statement'!D21/'Income Statement'!D11</f>
        <v>1.6474864655839073E-2</v>
      </c>
      <c r="F16" s="57">
        <f>'Income Statement'!E21/'Income Statement'!E11</f>
        <v>2.1454367984382626E-2</v>
      </c>
      <c r="G16" s="57">
        <f>'Income Statement'!F21/'Income Statement'!F11</f>
        <v>3.8974745571051614E-2</v>
      </c>
      <c r="H16" s="57">
        <f>'Income Statement'!G21/'Income Statement'!G11</f>
        <v>2.8522567609158042E-2</v>
      </c>
    </row>
    <row r="17" spans="2:8" x14ac:dyDescent="0.3">
      <c r="B17" s="40" t="s">
        <v>150</v>
      </c>
      <c r="C17" s="40" t="s">
        <v>233</v>
      </c>
      <c r="D17" s="57">
        <f>'Income Statement'!C25/'Income Statement'!C11</f>
        <v>3.5250669374942298E-2</v>
      </c>
      <c r="E17" s="57">
        <f>'Income Statement'!D25/'Income Statement'!D11</f>
        <v>3.2991148921543291E-2</v>
      </c>
      <c r="F17" s="57">
        <f>'Income Statement'!E25/'Income Statement'!E11</f>
        <v>2.6139580283064911E-2</v>
      </c>
      <c r="G17" s="57">
        <f>'Income Statement'!F25/'Income Statement'!F11</f>
        <v>4.2634124890061541E-2</v>
      </c>
      <c r="H17" s="57">
        <f>'Income Statement'!G25/'Income Statement'!G11</f>
        <v>3.3768048065728938E-2</v>
      </c>
    </row>
    <row r="18" spans="2:8" x14ac:dyDescent="0.3">
      <c r="B18" s="40" t="s">
        <v>151</v>
      </c>
      <c r="C18" s="40" t="s">
        <v>234</v>
      </c>
      <c r="D18" s="57">
        <f>'Income Statement'!C31/'Income Statement'!C11</f>
        <v>1.4275136183177915E-2</v>
      </c>
      <c r="E18" s="57">
        <f>'Income Statement'!D31/'Income Statement'!D11</f>
        <v>9.4455615708515343E-3</v>
      </c>
      <c r="F18" s="57">
        <f>'Income Statement'!E31/'Income Statement'!E11</f>
        <v>2.6217667154709618E-3</v>
      </c>
      <c r="G18" s="57">
        <f>'Income Statement'!F31/'Income Statement'!F11</f>
        <v>1.8274908908154266E-2</v>
      </c>
      <c r="H18" s="57">
        <f>'Income Statement'!G31/'Income Statement'!G11</f>
        <v>1.3177396261256902E-2</v>
      </c>
    </row>
    <row r="19" spans="2:8" x14ac:dyDescent="0.3">
      <c r="B19" s="40" t="s">
        <v>152</v>
      </c>
      <c r="C19" s="40" t="s">
        <v>235</v>
      </c>
      <c r="D19" s="57">
        <f>'Income Statement'!C31/'Balance Sheet'!C13</f>
        <v>0.10163949513541939</v>
      </c>
      <c r="E19" s="57">
        <f>'Income Statement'!D31/'Balance Sheet'!D13</f>
        <v>6.7302228753367194E-2</v>
      </c>
      <c r="F19" s="57">
        <f>'Income Statement'!E31/'Balance Sheet'!E13</f>
        <v>1.614959114959115E-2</v>
      </c>
      <c r="G19" s="57">
        <f>'Income Statement'!F31/'Balance Sheet'!F13</f>
        <v>0.12347198641765689</v>
      </c>
      <c r="H19" s="57">
        <f>'Income Statement'!G31/'Balance Sheet'!G13</f>
        <v>9.4325670498083283E-2</v>
      </c>
    </row>
    <row r="20" spans="2:8" x14ac:dyDescent="0.3">
      <c r="B20" s="40" t="s">
        <v>153</v>
      </c>
      <c r="C20" s="40" t="s">
        <v>236</v>
      </c>
      <c r="D20" s="57">
        <f>'Income Statement'!C31/'Balance Sheet'!C41</f>
        <v>3.6265421963690946E-2</v>
      </c>
      <c r="E20" s="57">
        <f>'Income Statement'!D31/'Balance Sheet'!D41</f>
        <v>2.6195900857959795E-2</v>
      </c>
      <c r="F20" s="57">
        <f>'Income Statement'!E31/'Balance Sheet'!E41</f>
        <v>6.7810474016924849E-3</v>
      </c>
      <c r="G20" s="57">
        <f>'Income Statement'!F31/'Balance Sheet'!F41</f>
        <v>5.1858408183966247E-2</v>
      </c>
      <c r="H20" s="57">
        <f>'Income Statement'!G31/'Balance Sheet'!G41</f>
        <v>3.9780937418827697E-2</v>
      </c>
    </row>
    <row r="21" spans="2:8" x14ac:dyDescent="0.3">
      <c r="B21" s="40" t="s">
        <v>237</v>
      </c>
      <c r="C21" s="40" t="s">
        <v>238</v>
      </c>
      <c r="D21" s="57">
        <f>'Income Statement'!C21/('Balance Sheet'!C41-'Balance Sheet'!C24)</f>
        <v>0.20136795733827961</v>
      </c>
      <c r="E21" s="57">
        <f>'Income Statement'!D21/('Balance Sheet'!D41-'Balance Sheet'!D24)</f>
        <v>0.10315183471430071</v>
      </c>
      <c r="F21" s="57">
        <f>'Income Statement'!E21/('Balance Sheet'!E41-'Balance Sheet'!E24)</f>
        <v>0.11697462534059945</v>
      </c>
      <c r="G21" s="57">
        <f>'Income Statement'!F21/('Balance Sheet'!F41-'Balance Sheet'!F24)</f>
        <v>0.23169224219383103</v>
      </c>
      <c r="H21" s="57">
        <f>'Income Statement'!G21/('Balance Sheet'!G41-'Balance Sheet'!G24)</f>
        <v>0.17292498054967073</v>
      </c>
    </row>
    <row r="22" spans="2:8" x14ac:dyDescent="0.3">
      <c r="D22" s="7"/>
      <c r="E22" s="7"/>
      <c r="F22" s="7"/>
      <c r="G22" s="7"/>
      <c r="H22" s="7"/>
    </row>
    <row r="23" spans="2:8" x14ac:dyDescent="0.3">
      <c r="B23" s="38" t="s">
        <v>154</v>
      </c>
      <c r="C23" s="38"/>
      <c r="D23" s="9"/>
      <c r="E23" s="9"/>
      <c r="F23" s="9"/>
      <c r="G23" s="9"/>
      <c r="H23" s="9"/>
    </row>
    <row r="24" spans="2:8" x14ac:dyDescent="0.3">
      <c r="B24" s="40" t="s">
        <v>211</v>
      </c>
      <c r="C24" s="40" t="s">
        <v>212</v>
      </c>
      <c r="D24" s="61">
        <f>('Balance Sheet'!C16+'Balance Sheet'!C21)/'Balance Sheet'!C13</f>
        <v>0.3376242440178806</v>
      </c>
      <c r="E24" s="61">
        <f>('Balance Sheet'!D16+'Balance Sheet'!D21)/'Balance Sheet'!D13</f>
        <v>0.27247122214058289</v>
      </c>
      <c r="F24" s="61">
        <f>('Balance Sheet'!E16+'Balance Sheet'!E21)/'Balance Sheet'!E13</f>
        <v>0.29040404040404039</v>
      </c>
      <c r="G24" s="61">
        <f>('Balance Sheet'!F16+'Balance Sheet'!F21)/'Balance Sheet'!F13</f>
        <v>0.18164579796264854</v>
      </c>
      <c r="H24" s="61">
        <f>('Balance Sheet'!G16+'Balance Sheet'!G21)/'Balance Sheet'!G13</f>
        <v>7.836877394636016E-2</v>
      </c>
    </row>
    <row r="25" spans="2:8" x14ac:dyDescent="0.3">
      <c r="B25" s="40" t="s">
        <v>155</v>
      </c>
      <c r="C25" s="40" t="s">
        <v>239</v>
      </c>
      <c r="D25" s="57">
        <f>('Balance Sheet'!C16+'Balance Sheet'!C21)/'Balance Sheet'!C41</f>
        <v>0.12046582539757</v>
      </c>
      <c r="E25" s="57">
        <f>('Balance Sheet'!D16+'Balance Sheet'!D21)/'Balance Sheet'!D41</f>
        <v>0.10605338417540515</v>
      </c>
      <c r="F25" s="57">
        <f>('Balance Sheet'!E16+'Balance Sheet'!E21)/'Balance Sheet'!E41</f>
        <v>0.12193767293438086</v>
      </c>
      <c r="G25" s="57">
        <f>('Balance Sheet'!F16+'Balance Sheet'!F21)/'Balance Sheet'!F41</f>
        <v>7.629149096043232E-2</v>
      </c>
      <c r="H25" s="57">
        <f>('Balance Sheet'!G16+'Balance Sheet'!G21)/'Balance Sheet'!G41</f>
        <v>3.3051270937043145E-2</v>
      </c>
    </row>
    <row r="26" spans="2:8" x14ac:dyDescent="0.3">
      <c r="B26" s="40" t="s">
        <v>213</v>
      </c>
      <c r="C26" s="40" t="s">
        <v>214</v>
      </c>
      <c r="D26" s="61">
        <f>'Income Statement'!C25/'Income Statement'!C26</f>
        <v>3.5286506469500925</v>
      </c>
      <c r="E26" s="61">
        <f>'Income Statement'!D25/'Income Statement'!D26</f>
        <v>2.4768903225806405</v>
      </c>
      <c r="F26" s="61">
        <f>'Income Statement'!E25/'Income Statement'!E26</f>
        <v>1.7877169559412549</v>
      </c>
      <c r="G26" s="61">
        <f>'Income Statement'!F25/'Income Statement'!F26</f>
        <v>3.7494475138121528</v>
      </c>
      <c r="H26" s="61">
        <f>'Income Statement'!G25/'Income Statement'!G26</f>
        <v>3.5693352192361947</v>
      </c>
    </row>
    <row r="27" spans="2:8" x14ac:dyDescent="0.3">
      <c r="B27" s="40" t="s">
        <v>215</v>
      </c>
      <c r="C27" s="40" t="s">
        <v>216</v>
      </c>
      <c r="D27" s="61">
        <f>'Balance Sheet'!C41/'Balance Sheet'!C13</f>
        <v>2.8026557980541678</v>
      </c>
      <c r="E27" s="61">
        <f>'Balance Sheet'!D41/'Balance Sheet'!D13</f>
        <v>2.5691893215772716</v>
      </c>
      <c r="F27" s="61">
        <f>'Balance Sheet'!E41/'Balance Sheet'!E13</f>
        <v>2.3815776815776815</v>
      </c>
      <c r="G27" s="61">
        <f>'Balance Sheet'!F41/'Balance Sheet'!F13</f>
        <v>2.3809443972835318</v>
      </c>
      <c r="H27" s="61">
        <f>'Balance Sheet'!G41/'Balance Sheet'!G13</f>
        <v>2.3711273946360154</v>
      </c>
    </row>
    <row r="28" spans="2:8" x14ac:dyDescent="0.3">
      <c r="D28" s="7"/>
      <c r="E28" s="7"/>
      <c r="F28" s="7"/>
      <c r="G28" s="7"/>
      <c r="H28" s="7"/>
    </row>
    <row r="29" spans="2:8" x14ac:dyDescent="0.3">
      <c r="B29" s="38" t="s">
        <v>156</v>
      </c>
      <c r="C29" s="38"/>
      <c r="D29" s="9"/>
      <c r="E29" s="9"/>
      <c r="F29" s="9"/>
      <c r="G29" s="9"/>
      <c r="H29" s="9"/>
    </row>
    <row r="30" spans="2:8" x14ac:dyDescent="0.3">
      <c r="B30" s="40" t="s">
        <v>220</v>
      </c>
      <c r="C30" s="40" t="s">
        <v>225</v>
      </c>
      <c r="D30" s="61">
        <f>'Income Statement'!C11/'Balance Sheet'!C41</f>
        <v>2.5404606651967914</v>
      </c>
      <c r="E30" s="61">
        <f>'Income Statement'!D11/'Balance Sheet'!D41</f>
        <v>2.773355576739752</v>
      </c>
      <c r="F30" s="61">
        <f>'Income Statement'!E11/'Balance Sheet'!E41</f>
        <v>2.5864419445398177</v>
      </c>
      <c r="G30" s="61">
        <f>'Income Statement'!F11/'Balance Sheet'!F41</f>
        <v>2.8376835389218829</v>
      </c>
      <c r="H30" s="61">
        <f>'Income Statement'!G11/'Balance Sheet'!G41</f>
        <v>3.0188769184841426</v>
      </c>
    </row>
    <row r="31" spans="2:8" x14ac:dyDescent="0.3">
      <c r="B31" s="40" t="s">
        <v>222</v>
      </c>
      <c r="C31" s="40" t="s">
        <v>226</v>
      </c>
      <c r="D31" s="63">
        <f>'Balance Sheet'!C36/'Income Statement'!C11*365</f>
        <v>14.94912750438556</v>
      </c>
      <c r="E31" s="63">
        <f>'Balance Sheet'!D36/'Income Statement'!D11*365</f>
        <v>12.11334536392541</v>
      </c>
      <c r="F31" s="63">
        <f>'Balance Sheet'!E36/'Income Statement'!E11*365</f>
        <v>12.697510980966326</v>
      </c>
      <c r="G31" s="63">
        <f>'Balance Sheet'!F36/'Income Statement'!F11*365</f>
        <v>13.84715023872346</v>
      </c>
      <c r="H31" s="63">
        <f>'Balance Sheet'!G36/'Income Statement'!G11*365</f>
        <v>12.817663352557842</v>
      </c>
    </row>
    <row r="32" spans="2:8" x14ac:dyDescent="0.3">
      <c r="B32" s="40" t="s">
        <v>223</v>
      </c>
      <c r="C32" s="40" t="s">
        <v>227</v>
      </c>
      <c r="D32" s="63">
        <f>'Balance Sheet'!C35/('Income Statement'!C14+'Income Statement'!C15+'Income Statement'!C16)*365</f>
        <v>57.745017633068151</v>
      </c>
      <c r="E32" s="63">
        <f>'Balance Sheet'!D35/('Income Statement'!D14+'Income Statement'!D15+'Income Statement'!D16)*365</f>
        <v>53.012068924113471</v>
      </c>
      <c r="F32" s="63">
        <f>'Balance Sheet'!E35/('Income Statement'!E14+'Income Statement'!E15+'Income Statement'!E16)*365</f>
        <v>58.069464384318053</v>
      </c>
      <c r="G32" s="63">
        <f>'Balance Sheet'!F35/('Income Statement'!F14+'Income Statement'!F15+'Income Statement'!F16)*365</f>
        <v>56.184775212247096</v>
      </c>
      <c r="H32" s="63">
        <f>'Balance Sheet'!G35/('Income Statement'!G14+'Income Statement'!G15+'Income Statement'!G16)*365</f>
        <v>44.68278883018759</v>
      </c>
    </row>
    <row r="33" spans="2:8" x14ac:dyDescent="0.3">
      <c r="B33" s="40" t="s">
        <v>224</v>
      </c>
      <c r="C33" s="40" t="s">
        <v>228</v>
      </c>
      <c r="D33" s="63">
        <f>'Balance Sheet'!C22/('Income Statement'!C14+'Income Statement'!C15+'Income Statement'!C16)*365</f>
        <v>13.770196014106455</v>
      </c>
      <c r="E33" s="63">
        <f>'Balance Sheet'!D22/('Income Statement'!D14+'Income Statement'!D15+'Income Statement'!D16)*365</f>
        <v>18.482791378567356</v>
      </c>
      <c r="F33" s="63">
        <f>'Balance Sheet'!E22/('Income Statement'!E14+'Income Statement'!E15+'Income Statement'!E16)*365</f>
        <v>22.718277194919935</v>
      </c>
      <c r="G33" s="63">
        <f>'Balance Sheet'!F22/('Income Statement'!F14+'Income Statement'!F15+'Income Statement'!F16)*365</f>
        <v>19.217743429514016</v>
      </c>
      <c r="H33" s="63">
        <f>'Balance Sheet'!G22/('Income Statement'!G14+'Income Statement'!G15+'Income Statement'!G16)*365</f>
        <v>17.833357346592635</v>
      </c>
    </row>
    <row r="34" spans="2:8" x14ac:dyDescent="0.3">
      <c r="B34" s="42" t="s">
        <v>186</v>
      </c>
      <c r="C34" s="42" t="s">
        <v>221</v>
      </c>
      <c r="D34" s="64">
        <f>D31+D32-D33</f>
        <v>58.923949123347263</v>
      </c>
      <c r="E34" s="64">
        <f>E31+E32-E33</f>
        <v>46.642622909471527</v>
      </c>
      <c r="F34" s="64">
        <f>F31+F32-F33</f>
        <v>48.048698170364446</v>
      </c>
      <c r="G34" s="64">
        <f>G31+G32-G33</f>
        <v>50.814182021456546</v>
      </c>
      <c r="H34" s="64">
        <f>H31+H32-H33</f>
        <v>39.667094836152799</v>
      </c>
    </row>
    <row r="35" spans="2:8" x14ac:dyDescent="0.3">
      <c r="B35" s="40" t="s">
        <v>240</v>
      </c>
      <c r="C35" s="40" t="s">
        <v>241</v>
      </c>
      <c r="D35" s="61">
        <f>'Income Statement'!C11/'Balance Sheet'!C30</f>
        <v>12.629430970149254</v>
      </c>
      <c r="E35" s="61">
        <f>'Income Statement'!D11/'Balance Sheet'!D30</f>
        <v>13.425242270419936</v>
      </c>
      <c r="F35" s="61">
        <f>'Income Statement'!E11/'Balance Sheet'!E30</f>
        <v>11.498316498316498</v>
      </c>
      <c r="G35" s="61">
        <f>'Income Statement'!F11/'Balance Sheet'!F30</f>
        <v>12.751308234719238</v>
      </c>
      <c r="H35" s="61">
        <f>'Income Statement'!G11/'Balance Sheet'!G30</f>
        <v>12.471025654290372</v>
      </c>
    </row>
    <row r="36" spans="2:8" x14ac:dyDescent="0.3">
      <c r="D36" s="7"/>
      <c r="E36" s="7"/>
      <c r="F36" s="7"/>
      <c r="G36" s="7"/>
      <c r="H36" s="7"/>
    </row>
    <row r="37" spans="2:8" x14ac:dyDescent="0.3">
      <c r="B37" s="38" t="s">
        <v>157</v>
      </c>
      <c r="C37" s="38"/>
      <c r="D37" s="9"/>
      <c r="E37" s="9"/>
      <c r="F37" s="9"/>
      <c r="G37" s="9"/>
      <c r="H37" s="9"/>
    </row>
    <row r="38" spans="2:8" x14ac:dyDescent="0.3">
      <c r="B38" s="40" t="s">
        <v>138</v>
      </c>
      <c r="C38" s="40"/>
      <c r="D38" s="65">
        <f>'Income Statement'!C35</f>
        <v>5.9380136723250629</v>
      </c>
      <c r="E38" s="65">
        <f>'Income Statement'!D35</f>
        <v>4.2182055414843544</v>
      </c>
      <c r="F38" s="65">
        <f>'Income Statement'!E35</f>
        <v>1.0307774963542868</v>
      </c>
      <c r="G38" s="65">
        <f>'Income Statement'!F35</f>
        <v>8.9493924011690389</v>
      </c>
      <c r="H38" s="65">
        <f>'Income Statement'!G35</f>
        <v>7.577408433364031</v>
      </c>
    </row>
    <row r="39" spans="2:8" x14ac:dyDescent="0.3">
      <c r="B39" s="40" t="s">
        <v>229</v>
      </c>
      <c r="C39" s="40" t="s">
        <v>230</v>
      </c>
      <c r="D39" s="65">
        <f>'Balance Sheet'!C13/'Income Statement'!C34</f>
        <v>58.422305860665183</v>
      </c>
      <c r="E39" s="65">
        <f>'Balance Sheet'!D13/'Income Statement'!D34</f>
        <v>62.675569882569654</v>
      </c>
      <c r="F39" s="65">
        <f>'Balance Sheet'!E13/'Income Statement'!E34</f>
        <v>63.826847801059181</v>
      </c>
      <c r="G39" s="65">
        <f>'Balance Sheet'!F13/'Income Statement'!F34</f>
        <v>72.481156745116124</v>
      </c>
      <c r="H39" s="65">
        <f>'Balance Sheet'!G13/'Income Statement'!G34</f>
        <v>80.33240997229916</v>
      </c>
    </row>
  </sheetData>
  <mergeCells count="3">
    <mergeCell ref="B2:H2"/>
    <mergeCell ref="B4:H4"/>
    <mergeCell ref="B3:H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F8F00"/>
  </sheetPr>
  <dimension ref="B2:G26"/>
  <sheetViews>
    <sheetView showGridLines="0" zoomScaleNormal="100" workbookViewId="0">
      <pane xSplit="2" ySplit="6" topLeftCell="C7" activePane="bottomRight" state="frozen"/>
      <selection pane="topRight" activeCell="C1" sqref="C1"/>
      <selection pane="bottomLeft" activeCell="A6" sqref="A6"/>
      <selection pane="bottomRight" activeCell="B27" sqref="B27"/>
    </sheetView>
  </sheetViews>
  <sheetFormatPr defaultColWidth="8.6640625" defaultRowHeight="14.4" x14ac:dyDescent="0.3"/>
  <cols>
    <col min="1" max="1" width="2" customWidth="1"/>
    <col min="2" max="2" width="34" customWidth="1"/>
    <col min="3" max="7" width="14" customWidth="1"/>
    <col min="8" max="8" width="3" customWidth="1"/>
  </cols>
  <sheetData>
    <row r="2" spans="2:7" ht="25.5" customHeight="1" x14ac:dyDescent="0.3">
      <c r="B2" s="77" t="s">
        <v>246</v>
      </c>
      <c r="C2" s="77"/>
      <c r="D2" s="77"/>
      <c r="E2" s="77"/>
      <c r="F2" s="77"/>
      <c r="G2" s="77"/>
    </row>
    <row r="3" spans="2:7" ht="25.5" customHeight="1" x14ac:dyDescent="0.3">
      <c r="B3" s="77" t="s">
        <v>245</v>
      </c>
      <c r="C3" s="77"/>
      <c r="D3" s="77"/>
      <c r="E3" s="77"/>
      <c r="F3" s="77"/>
      <c r="G3" s="77"/>
    </row>
    <row r="4" spans="2:7" x14ac:dyDescent="0.3">
      <c r="B4" s="78" t="s">
        <v>242</v>
      </c>
      <c r="C4" s="78"/>
      <c r="D4" s="78"/>
      <c r="E4" s="78"/>
      <c r="F4" s="78"/>
      <c r="G4" s="78"/>
    </row>
    <row r="6" spans="2:7" ht="21.75" customHeight="1" x14ac:dyDescent="0.3">
      <c r="B6" s="37" t="s">
        <v>50</v>
      </c>
      <c r="C6" s="37" t="s">
        <v>51</v>
      </c>
      <c r="D6" s="37" t="s">
        <v>52</v>
      </c>
      <c r="E6" s="37" t="s">
        <v>53</v>
      </c>
      <c r="F6" s="37" t="s">
        <v>54</v>
      </c>
      <c r="G6" s="37" t="s">
        <v>55</v>
      </c>
    </row>
    <row r="8" spans="2:7" x14ac:dyDescent="0.3">
      <c r="B8" s="38" t="s">
        <v>158</v>
      </c>
      <c r="C8" s="39"/>
      <c r="D8" s="39"/>
      <c r="E8" s="39"/>
      <c r="F8" s="39"/>
      <c r="G8" s="39"/>
    </row>
    <row r="9" spans="2:7" x14ac:dyDescent="0.3">
      <c r="B9" s="42" t="s">
        <v>125</v>
      </c>
      <c r="C9" s="44">
        <f>IFERROR(('Income Statement'!C10)/('Income Statement'!$C$10)*100,"n/m")</f>
        <v>100</v>
      </c>
      <c r="D9" s="44">
        <f>IFERROR(('Income Statement'!D10)/('Income Statement'!$C$10)*100,"n/m")</f>
        <v>107.44160280675838</v>
      </c>
      <c r="E9" s="44">
        <f>IFERROR(('Income Statement'!E10)/('Income Statement'!$C$10)*100,"n/m")</f>
        <v>94.58960391468932</v>
      </c>
      <c r="F9" s="44">
        <f>IFERROR(('Income Statement'!F10)/('Income Statement'!$C$10)*100,"n/m")</f>
        <v>117.57363124365247</v>
      </c>
      <c r="G9" s="44">
        <f>IFERROR(('Income Statement'!G10)/('Income Statement'!$C$10)*100,"n/m")</f>
        <v>137.99464500046165</v>
      </c>
    </row>
    <row r="10" spans="2:7" x14ac:dyDescent="0.3">
      <c r="B10" s="40" t="s">
        <v>126</v>
      </c>
      <c r="C10" s="45">
        <f>IFERROR(('Income Statement'!C21)/('Income Statement'!$C$21)*100,"n/m")</f>
        <v>100</v>
      </c>
      <c r="D10" s="45">
        <f>IFERROR(('Income Statement'!D21)/('Income Statement'!$C$21)*100,"n/m")</f>
        <v>55.186528497409128</v>
      </c>
      <c r="E10" s="45">
        <f>IFERROR(('Income Statement'!E21)/('Income Statement'!$C$21)*100,"n/m")</f>
        <v>63.270005757052395</v>
      </c>
      <c r="F10" s="45">
        <f>IFERROR(('Income Statement'!F21)/('Income Statement'!$C$21)*100,"n/m")</f>
        <v>142.86701208980995</v>
      </c>
      <c r="G10" s="45">
        <f>IFERROR(('Income Statement'!G21)/('Income Statement'!$C$21)*100,"n/m")</f>
        <v>122.71272308577947</v>
      </c>
    </row>
    <row r="11" spans="2:7" x14ac:dyDescent="0.3">
      <c r="B11" s="40" t="s">
        <v>75</v>
      </c>
      <c r="C11" s="45">
        <f>IFERROR(('Income Statement'!C25)/('Income Statement'!$C$25)*100,"n/m")</f>
        <v>100</v>
      </c>
      <c r="D11" s="45">
        <f>IFERROR(('Income Statement'!D25)/('Income Statement'!$C$25)*100,"n/m")</f>
        <v>100.55474070193799</v>
      </c>
      <c r="E11" s="45">
        <f>IFERROR(('Income Statement'!E25)/('Income Statement'!$C$25)*100,"n/m")</f>
        <v>70.141435306443171</v>
      </c>
      <c r="F11" s="45">
        <f>IFERROR(('Income Statement'!F25)/('Income Statement'!$C$25)*100,"n/m")</f>
        <v>142.20010476689359</v>
      </c>
      <c r="G11" s="45">
        <f>IFERROR(('Income Statement'!G25)/('Income Statement'!$C$25)*100,"n/m")</f>
        <v>132.19067574646357</v>
      </c>
    </row>
    <row r="12" spans="2:7" x14ac:dyDescent="0.3">
      <c r="B12" s="40" t="s">
        <v>130</v>
      </c>
      <c r="C12" s="45">
        <f>IFERROR(('Income Statement'!C28)/('Income Statement'!$C$28)*100,"n/m")</f>
        <v>100</v>
      </c>
      <c r="D12" s="45">
        <f>IFERROR(('Income Statement'!D28)/('Income Statement'!$C$28)*100,"n/m")</f>
        <v>74.276676109536965</v>
      </c>
      <c r="E12" s="45">
        <f>IFERROR(('Income Statement'!E28)/('Income Statement'!$C$28)*100,"n/m")</f>
        <v>21.340887629839472</v>
      </c>
      <c r="F12" s="45">
        <f>IFERROR(('Income Statement'!F28)/('Income Statement'!$C$28)*100,"n/m")</f>
        <v>150.67044381491962</v>
      </c>
      <c r="G12" s="45">
        <f>IFERROR(('Income Statement'!G28)/('Income Statement'!$C$28)*100,"n/m")</f>
        <v>129.13314447591969</v>
      </c>
    </row>
    <row r="13" spans="2:7" x14ac:dyDescent="0.3">
      <c r="B13" s="42" t="s">
        <v>132</v>
      </c>
      <c r="C13" s="44">
        <f>IFERROR(('Income Statement'!C31)/('Income Statement'!$C$31)*100,"n/m")</f>
        <v>100</v>
      </c>
      <c r="D13" s="44">
        <f>IFERROR(('Income Statement'!D31)/('Income Statement'!$C$31)*100,"n/m")</f>
        <v>71.091880424799385</v>
      </c>
      <c r="E13" s="44">
        <f>IFERROR(('Income Statement'!E31)/('Income Statement'!$C$31)*100,"n/m")</f>
        <v>17.372294876272527</v>
      </c>
      <c r="F13" s="44">
        <f>IFERROR(('Income Statement'!F31)/('Income Statement'!$C$31)*100,"n/m")</f>
        <v>150.51677079695222</v>
      </c>
      <c r="G13" s="44">
        <f>IFERROR(('Income Statement'!G31)/('Income Statement'!$C$31)*100,"n/m")</f>
        <v>127.38303129082612</v>
      </c>
    </row>
    <row r="14" spans="2:7" x14ac:dyDescent="0.3">
      <c r="B14" s="40" t="s">
        <v>159</v>
      </c>
      <c r="C14" s="45">
        <f>IFERROR(('Income Statement'!C35)/('Income Statement'!$C$35)*100,"n/m")</f>
        <v>100</v>
      </c>
      <c r="D14" s="45">
        <f>IFERROR(('Income Statement'!D35)/('Income Statement'!$C$35)*100,"n/m")</f>
        <v>71.037316083388063</v>
      </c>
      <c r="E14" s="45">
        <f>IFERROR(('Income Statement'!E35)/('Income Statement'!$C$35)*100,"n/m")</f>
        <v>17.358961316616167</v>
      </c>
      <c r="F14" s="45">
        <f>IFERROR(('Income Statement'!F35)/('Income Statement'!$C$35)*100,"n/m")</f>
        <v>150.71357014347956</v>
      </c>
      <c r="G14" s="45">
        <f>IFERROR(('Income Statement'!G35)/('Income Statement'!$C$35)*100,"n/m")</f>
        <v>127.60847063521585</v>
      </c>
    </row>
    <row r="16" spans="2:7" x14ac:dyDescent="0.3">
      <c r="B16" s="38" t="s">
        <v>160</v>
      </c>
      <c r="C16" s="39"/>
      <c r="D16" s="39"/>
      <c r="E16" s="39"/>
      <c r="F16" s="39"/>
      <c r="G16" s="39"/>
    </row>
    <row r="17" spans="2:7" x14ac:dyDescent="0.3">
      <c r="B17" s="42" t="s">
        <v>134</v>
      </c>
      <c r="C17" s="44">
        <f>IFERROR(('Balance Sheet'!C13)/('Balance Sheet'!$C$13)*100,"n/m")</f>
        <v>100</v>
      </c>
      <c r="D17" s="44">
        <f>IFERROR(('Balance Sheet'!D13)/('Balance Sheet'!$C$13)*100,"n/m")</f>
        <v>107.36260846699975</v>
      </c>
      <c r="E17" s="44">
        <f>IFERROR(('Balance Sheet'!E13)/('Balance Sheet'!$C$13)*100,"n/m")</f>
        <v>109.33473573494609</v>
      </c>
      <c r="F17" s="44">
        <f>IFERROR(('Balance Sheet'!F13)/('Balance Sheet'!$C$13)*100,"n/m")</f>
        <v>123.90218248750986</v>
      </c>
      <c r="G17" s="44">
        <f>IFERROR(('Balance Sheet'!G13)/('Balance Sheet'!$C$13)*100,"n/m")</f>
        <v>137.26005784906653</v>
      </c>
    </row>
    <row r="18" spans="2:7" x14ac:dyDescent="0.3">
      <c r="B18" s="40" t="s">
        <v>140</v>
      </c>
      <c r="C18" s="45">
        <f>IFERROR(('Balance Sheet'!C16+'Balance Sheet'!C21)/('Balance Sheet'!C16+'Balance Sheet'!C21)*100,"n/m")</f>
        <v>100</v>
      </c>
      <c r="D18" s="45">
        <f>IFERROR(('Balance Sheet'!D16+'Balance Sheet'!D21)/('Balance Sheet'!C16+'Balance Sheet'!C21)*100,"n/m")</f>
        <v>86.644314380619718</v>
      </c>
      <c r="E18" s="45">
        <f>IFERROR(('Balance Sheet'!E16+'Balance Sheet'!E21)/('Balance Sheet'!C16+'Balance Sheet'!C21)*100,"n/m")</f>
        <v>94.043154709751292</v>
      </c>
      <c r="F18" s="45">
        <f>IFERROR(('Balance Sheet'!F16+'Balance Sheet'!F21)/('Balance Sheet'!C16+'Balance Sheet'!C21)*100,"n/m")</f>
        <v>66.660825476933141</v>
      </c>
      <c r="G18" s="45">
        <f>IFERROR(('Balance Sheet'!G16+'Balance Sheet'!G21)/('Balance Sheet'!C16+'Balance Sheet'!C21)*100,"n/m")</f>
        <v>31.860574695187253</v>
      </c>
    </row>
    <row r="19" spans="2:7" x14ac:dyDescent="0.3">
      <c r="B19" s="42" t="s">
        <v>141</v>
      </c>
      <c r="C19" s="44">
        <f>IFERROR(('Balance Sheet'!C41)/('Balance Sheet'!$C$41)*100,"n/m")</f>
        <v>100</v>
      </c>
      <c r="D19" s="44">
        <f>IFERROR(('Balance Sheet'!D41)/('Balance Sheet'!$C$41)*100,"n/m")</f>
        <v>98.419102125064512</v>
      </c>
      <c r="E19" s="44">
        <f>IFERROR(('Balance Sheet'!E41)/('Balance Sheet'!$C$41)*100,"n/m")</f>
        <v>92.90800769339026</v>
      </c>
      <c r="F19" s="44">
        <f>IFERROR(('Balance Sheet'!F41)/('Balance Sheet'!$C$41)*100,"n/m")</f>
        <v>105.25880752451098</v>
      </c>
      <c r="G19" s="44">
        <f>IFERROR(('Balance Sheet'!G41)/('Balance Sheet'!$C$41)*100,"n/m")</f>
        <v>116.12595580991696</v>
      </c>
    </row>
    <row r="20" spans="2:7" x14ac:dyDescent="0.3">
      <c r="B20" s="40" t="s">
        <v>107</v>
      </c>
      <c r="C20" s="45">
        <f>IFERROR(('Balance Sheet'!C35)/('Balance Sheet'!$C$35)*100,"n/m")</f>
        <v>100</v>
      </c>
      <c r="D20" s="45">
        <f>IFERROR(('Balance Sheet'!D35)/('Balance Sheet'!$C$35)*100,"n/m")</f>
        <v>99.546397096941419</v>
      </c>
      <c r="E20" s="45">
        <f>IFERROR(('Balance Sheet'!E35)/('Balance Sheet'!$C$35)*100,"n/m")</f>
        <v>93.351477449455672</v>
      </c>
      <c r="F20" s="45">
        <f>IFERROR(('Balance Sheet'!F35)/('Balance Sheet'!$C$35)*100,"n/m")</f>
        <v>111.99170554691551</v>
      </c>
      <c r="G20" s="45">
        <f>IFERROR(('Balance Sheet'!G35)/('Balance Sheet'!$C$35)*100,"n/m")</f>
        <v>106.15241057542768</v>
      </c>
    </row>
    <row r="21" spans="2:7" x14ac:dyDescent="0.3">
      <c r="B21" s="40" t="s">
        <v>108</v>
      </c>
      <c r="C21" s="45">
        <f>IFERROR(('Balance Sheet'!C36)/('Balance Sheet'!$C$36)*100,"n/m")</f>
        <v>100</v>
      </c>
      <c r="D21" s="45">
        <f>IFERROR(('Balance Sheet'!D36)/('Balance Sheet'!$C$36)*100,"n/m")</f>
        <v>87.06041478809739</v>
      </c>
      <c r="E21" s="45">
        <f>IFERROR(('Balance Sheet'!E36)/('Balance Sheet'!$C$36)*100,"n/m")</f>
        <v>80.342651036970253</v>
      </c>
      <c r="F21" s="45">
        <f>IFERROR(('Balance Sheet'!F36)/('Balance Sheet'!$C$36)*100,"n/m")</f>
        <v>108.90667267808838</v>
      </c>
      <c r="G21" s="45">
        <f>IFERROR(('Balance Sheet'!G36)/('Balance Sheet'!$C$36)*100,"n/m")</f>
        <v>118.31920649233545</v>
      </c>
    </row>
    <row r="23" spans="2:7" x14ac:dyDescent="0.3">
      <c r="B23" s="38" t="s">
        <v>161</v>
      </c>
      <c r="C23" s="39"/>
      <c r="D23" s="39"/>
      <c r="E23" s="39"/>
      <c r="F23" s="39"/>
      <c r="G23" s="39"/>
    </row>
    <row r="24" spans="2:7" x14ac:dyDescent="0.3">
      <c r="B24" s="42" t="s">
        <v>143</v>
      </c>
      <c r="C24" s="44">
        <f>IFERROR(('Cash Flow Statement'!C9)/('Cash Flow Statement'!$C$9)*100,"n/m")</f>
        <v>100</v>
      </c>
      <c r="D24" s="44">
        <f>IFERROR(('Cash Flow Statement'!D9)/('Cash Flow Statement'!$C$9)*100,"n/m")</f>
        <v>55.342237061769616</v>
      </c>
      <c r="E24" s="44">
        <f>IFERROR(('Cash Flow Statement'!E9)/('Cash Flow Statement'!$C$9)*100,"n/m")</f>
        <v>24.123539232053425</v>
      </c>
      <c r="F24" s="44">
        <f>IFERROR(('Cash Flow Statement'!F9)/('Cash Flow Statement'!$C$9)*100,"n/m")</f>
        <v>179.46577629382304</v>
      </c>
      <c r="G24" s="44">
        <f>IFERROR(('Cash Flow Statement'!G9)/('Cash Flow Statement'!$C$9)*100,"n/m")</f>
        <v>327.87979966611022</v>
      </c>
    </row>
    <row r="26" spans="2:7" ht="22.35" customHeight="1" x14ac:dyDescent="0.3">
      <c r="B26" s="92" t="s">
        <v>243</v>
      </c>
      <c r="C26" s="92"/>
      <c r="D26" s="92"/>
      <c r="E26" s="92"/>
      <c r="F26" s="92"/>
      <c r="G26" s="92"/>
    </row>
  </sheetData>
  <mergeCells count="4">
    <mergeCell ref="B2:G2"/>
    <mergeCell ref="B4:G4"/>
    <mergeCell ref="B26:G26"/>
    <mergeCell ref="B3:G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sheetPr>
  <dimension ref="B2:G20"/>
  <sheetViews>
    <sheetView showGridLines="0" topLeftCell="A3" zoomScaleNormal="100" workbookViewId="0">
      <selection activeCell="J6" sqref="J6"/>
    </sheetView>
  </sheetViews>
  <sheetFormatPr defaultColWidth="8.6640625" defaultRowHeight="14.4" x14ac:dyDescent="0.3"/>
  <cols>
    <col min="1" max="1" width="2" customWidth="1"/>
    <col min="2" max="2" width="26.6640625" bestFit="1" customWidth="1"/>
    <col min="3" max="3" width="16" customWidth="1"/>
    <col min="4" max="4" width="18.44140625" bestFit="1" customWidth="1"/>
    <col min="5" max="7" width="16" customWidth="1"/>
    <col min="8" max="8" width="3" customWidth="1"/>
  </cols>
  <sheetData>
    <row r="2" spans="2:7" ht="30.6" customHeight="1" x14ac:dyDescent="0.3">
      <c r="B2" s="77" t="s">
        <v>246</v>
      </c>
      <c r="C2" s="77"/>
      <c r="D2" s="77"/>
      <c r="E2" s="77"/>
      <c r="F2" s="77"/>
      <c r="G2" s="77"/>
    </row>
    <row r="3" spans="2:7" ht="30.6" customHeight="1" x14ac:dyDescent="0.3">
      <c r="B3" s="77" t="s">
        <v>258</v>
      </c>
      <c r="C3" s="77"/>
      <c r="D3" s="77"/>
      <c r="E3" s="77"/>
      <c r="F3" s="77"/>
      <c r="G3" s="77"/>
    </row>
    <row r="4" spans="2:7" ht="18.600000000000001" customHeight="1" x14ac:dyDescent="0.3">
      <c r="B4" s="78" t="s">
        <v>259</v>
      </c>
      <c r="C4" s="78"/>
      <c r="D4" s="78"/>
      <c r="E4" s="78"/>
      <c r="F4" s="78"/>
      <c r="G4" s="78"/>
    </row>
    <row r="5" spans="2:7" ht="9.6" customHeight="1" x14ac:dyDescent="0.3"/>
    <row r="6" spans="2:7" ht="51.6" customHeight="1" x14ac:dyDescent="0.3">
      <c r="B6" s="69" t="s">
        <v>256</v>
      </c>
      <c r="C6" s="69" t="s">
        <v>162</v>
      </c>
      <c r="D6" s="69" t="s">
        <v>163</v>
      </c>
      <c r="E6" s="69" t="s">
        <v>255</v>
      </c>
      <c r="F6" s="69" t="s">
        <v>164</v>
      </c>
      <c r="G6" s="69" t="s">
        <v>165</v>
      </c>
    </row>
    <row r="7" spans="2:7" ht="25.5" customHeight="1" x14ac:dyDescent="0.3">
      <c r="B7" s="46">
        <f>'Income Statement'!G10</f>
        <v>74731</v>
      </c>
      <c r="C7" s="46">
        <f>'Income Statement'!G31</f>
        <v>984.75999999998953</v>
      </c>
      <c r="D7" s="47">
        <f>'Income Statement'!G25/'Income Statement'!G11</f>
        <v>3.3768048065728938E-2</v>
      </c>
      <c r="E7" s="47">
        <f>'Income Statement'!G31/'Balance Sheet'!G13</f>
        <v>9.4325670498083283E-2</v>
      </c>
      <c r="F7" s="48">
        <f>'Balance Sheet'!G39/'Balance Sheet'!G24</f>
        <v>1.2596831425054109</v>
      </c>
      <c r="G7" s="49">
        <f>'Income Statement'!G35</f>
        <v>7.577408433364031</v>
      </c>
    </row>
    <row r="8" spans="2:7" ht="9" customHeight="1" x14ac:dyDescent="0.3">
      <c r="B8" s="73"/>
      <c r="C8" s="73"/>
      <c r="D8" s="74"/>
      <c r="E8" s="74"/>
      <c r="F8" s="75"/>
      <c r="G8" s="76"/>
    </row>
    <row r="9" spans="2:7" ht="24.6" customHeight="1" x14ac:dyDescent="0.3">
      <c r="B9" s="79" t="s">
        <v>166</v>
      </c>
      <c r="C9" s="79"/>
      <c r="D9" s="79"/>
      <c r="E9" s="79"/>
      <c r="F9" s="79"/>
      <c r="G9" s="79"/>
    </row>
    <row r="10" spans="2:7" ht="15.75" customHeight="1" x14ac:dyDescent="0.3">
      <c r="B10" s="50" t="s">
        <v>167</v>
      </c>
      <c r="C10" s="50" t="s">
        <v>51</v>
      </c>
      <c r="D10" s="50" t="s">
        <v>52</v>
      </c>
      <c r="E10" s="50" t="s">
        <v>53</v>
      </c>
      <c r="F10" s="50" t="s">
        <v>54</v>
      </c>
      <c r="G10" s="50" t="s">
        <v>55</v>
      </c>
    </row>
    <row r="11" spans="2:7" x14ac:dyDescent="0.3">
      <c r="B11" s="40" t="s">
        <v>62</v>
      </c>
      <c r="C11" s="56">
        <f>'Income Statement'!C10</f>
        <v>54155</v>
      </c>
      <c r="D11" s="56">
        <f>'Income Statement'!D10</f>
        <v>58185</v>
      </c>
      <c r="E11" s="56">
        <f>'Income Statement'!E10</f>
        <v>51225</v>
      </c>
      <c r="F11" s="56">
        <f>'Income Statement'!F10</f>
        <v>63672</v>
      </c>
      <c r="G11" s="56">
        <f>'Income Statement'!G10</f>
        <v>74731</v>
      </c>
    </row>
    <row r="12" spans="2:7" x14ac:dyDescent="0.3">
      <c r="B12" s="40" t="s">
        <v>168</v>
      </c>
      <c r="C12" s="56">
        <f>'Income Statement'!C31</f>
        <v>773.06999999999994</v>
      </c>
      <c r="D12" s="56">
        <f>'Income Statement'!D31</f>
        <v>549.58999999999651</v>
      </c>
      <c r="E12" s="56">
        <f>'Income Statement'!E31</f>
        <v>134.30000000000001</v>
      </c>
      <c r="F12" s="56">
        <f>'Income Statement'!F31</f>
        <v>1163.5999999999985</v>
      </c>
      <c r="G12" s="56">
        <f>'Income Statement'!G31</f>
        <v>984.75999999998953</v>
      </c>
    </row>
    <row r="13" spans="2:7" x14ac:dyDescent="0.3">
      <c r="B13" s="40" t="s">
        <v>75</v>
      </c>
      <c r="C13" s="56">
        <f>'Income Statement'!C25</f>
        <v>1909</v>
      </c>
      <c r="D13" s="56">
        <f>'Income Statement'!D25</f>
        <v>1919.5899999999965</v>
      </c>
      <c r="E13" s="56">
        <f>'Income Statement'!E25</f>
        <v>1339</v>
      </c>
      <c r="F13" s="56">
        <f>'Income Statement'!F25</f>
        <v>2714.5999999999985</v>
      </c>
      <c r="G13" s="56">
        <f>'Income Statement'!G25</f>
        <v>2523.5199999999895</v>
      </c>
    </row>
    <row r="14" spans="2:7" x14ac:dyDescent="0.3">
      <c r="B14" s="40" t="s">
        <v>169</v>
      </c>
      <c r="C14" s="66">
        <f>'Income Statement'!C31/'Income Statement'!C11</f>
        <v>1.4275136183177915E-2</v>
      </c>
      <c r="D14" s="66">
        <f>'Income Statement'!D31/'Income Statement'!D11</f>
        <v>9.4455615708515343E-3</v>
      </c>
      <c r="E14" s="66">
        <f>'Income Statement'!E31/'Income Statement'!E11</f>
        <v>2.6217667154709618E-3</v>
      </c>
      <c r="F14" s="66">
        <f>'Income Statement'!F31/'Income Statement'!F11</f>
        <v>1.8274908908154266E-2</v>
      </c>
      <c r="G14" s="66">
        <f>'Income Statement'!G31/'Income Statement'!G11</f>
        <v>1.3177396261256902E-2</v>
      </c>
    </row>
    <row r="15" spans="2:7" x14ac:dyDescent="0.3">
      <c r="B15" s="40" t="s">
        <v>170</v>
      </c>
      <c r="C15" s="56">
        <f>'Balance Sheet'!C16+'Balance Sheet'!C21</f>
        <v>2567.9699999999998</v>
      </c>
      <c r="D15" s="56">
        <f>'Balance Sheet'!D16+'Balance Sheet'!D21</f>
        <v>2225</v>
      </c>
      <c r="E15" s="56">
        <f>'Balance Sheet'!E16+'Balance Sheet'!E21</f>
        <v>2415</v>
      </c>
      <c r="F15" s="56">
        <f>'Balance Sheet'!F16+'Balance Sheet'!F21</f>
        <v>1711.83</v>
      </c>
      <c r="G15" s="56">
        <f>'Balance Sheet'!G16+'Balance Sheet'!G21</f>
        <v>818.17000000000007</v>
      </c>
    </row>
    <row r="16" spans="2:7" x14ac:dyDescent="0.3">
      <c r="B16" s="40" t="s">
        <v>171</v>
      </c>
      <c r="C16" s="56">
        <f>'Balance Sheet'!C13</f>
        <v>7606</v>
      </c>
      <c r="D16" s="56">
        <f>'Balance Sheet'!D13</f>
        <v>8166</v>
      </c>
      <c r="E16" s="56">
        <f>'Balance Sheet'!E13</f>
        <v>8316</v>
      </c>
      <c r="F16" s="56">
        <f>'Balance Sheet'!F13</f>
        <v>9424</v>
      </c>
      <c r="G16" s="56">
        <f>'Balance Sheet'!G13</f>
        <v>10440</v>
      </c>
    </row>
    <row r="17" spans="2:7" x14ac:dyDescent="0.3">
      <c r="B17" s="40" t="s">
        <v>172</v>
      </c>
      <c r="C17" s="56">
        <f>'Cash Flow Statement'!C9</f>
        <v>1198</v>
      </c>
      <c r="D17" s="56">
        <f>'Cash Flow Statement'!D9</f>
        <v>663</v>
      </c>
      <c r="E17" s="56">
        <f>'Cash Flow Statement'!E9</f>
        <v>289</v>
      </c>
      <c r="F17" s="56">
        <f>'Cash Flow Statement'!F9</f>
        <v>2150</v>
      </c>
      <c r="G17" s="56">
        <f>'Cash Flow Statement'!G9</f>
        <v>3928</v>
      </c>
    </row>
    <row r="18" spans="2:7" x14ac:dyDescent="0.3">
      <c r="B18" s="40" t="s">
        <v>173</v>
      </c>
      <c r="C18" s="66">
        <f>'Income Statement'!C31/'Balance Sheet'!C13</f>
        <v>0.10163949513541939</v>
      </c>
      <c r="D18" s="66">
        <f>'Income Statement'!D31/'Balance Sheet'!D13</f>
        <v>6.7302228753367194E-2</v>
      </c>
      <c r="E18" s="66">
        <f>'Income Statement'!E31/'Balance Sheet'!E13</f>
        <v>1.614959114959115E-2</v>
      </c>
      <c r="F18" s="66">
        <f>'Income Statement'!F31/'Balance Sheet'!F13</f>
        <v>0.12347198641765689</v>
      </c>
      <c r="G18" s="66">
        <f>'Income Statement'!G31/'Balance Sheet'!G13</f>
        <v>9.4325670498083283E-2</v>
      </c>
    </row>
    <row r="19" spans="2:7" x14ac:dyDescent="0.3">
      <c r="B19" s="40" t="s">
        <v>174</v>
      </c>
      <c r="C19" s="67">
        <f>'Balance Sheet'!C39/'Balance Sheet'!C24</f>
        <v>1.2120400283665589</v>
      </c>
      <c r="D19" s="67">
        <f>'Balance Sheet'!D39/'Balance Sheet'!D24</f>
        <v>1.2433473089757852</v>
      </c>
      <c r="E19" s="67">
        <f>'Balance Sheet'!E39/'Balance Sheet'!E24</f>
        <v>1.2216138328530259</v>
      </c>
      <c r="F19" s="67">
        <f>'Balance Sheet'!F39/'Balance Sheet'!F24</f>
        <v>1.2462860037212444</v>
      </c>
      <c r="G19" s="67">
        <f>'Balance Sheet'!G39/'Balance Sheet'!G24</f>
        <v>1.2596831425054109</v>
      </c>
    </row>
    <row r="20" spans="2:7" x14ac:dyDescent="0.3">
      <c r="B20" s="40" t="s">
        <v>175</v>
      </c>
      <c r="C20" s="68">
        <f>'Ratio Analysis'!D34</f>
        <v>58.923949123347263</v>
      </c>
      <c r="D20" s="68">
        <f>'Ratio Analysis'!E34</f>
        <v>46.642622909471527</v>
      </c>
      <c r="E20" s="68">
        <f>'Ratio Analysis'!F34</f>
        <v>48.048698170364446</v>
      </c>
      <c r="F20" s="68">
        <f>'Ratio Analysis'!G34</f>
        <v>50.814182021456546</v>
      </c>
      <c r="G20" s="68">
        <f>'Ratio Analysis'!H34</f>
        <v>39.667094836152799</v>
      </c>
    </row>
  </sheetData>
  <mergeCells count="4">
    <mergeCell ref="B2:G2"/>
    <mergeCell ref="B4:G4"/>
    <mergeCell ref="B9:G9"/>
    <mergeCell ref="B3:G3"/>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F7F7F"/>
  </sheetPr>
  <dimension ref="B2:C19"/>
  <sheetViews>
    <sheetView showGridLines="0" tabSelected="1" zoomScaleNormal="100" workbookViewId="0">
      <selection activeCell="C12" sqref="C12"/>
    </sheetView>
  </sheetViews>
  <sheetFormatPr defaultColWidth="8.6640625" defaultRowHeight="14.4" x14ac:dyDescent="0.3"/>
  <cols>
    <col min="1" max="1" width="2" customWidth="1"/>
    <col min="2" max="2" width="31.21875" customWidth="1"/>
    <col min="3" max="3" width="109" customWidth="1"/>
    <col min="4" max="4" width="9" customWidth="1"/>
  </cols>
  <sheetData>
    <row r="2" spans="2:3" ht="25.5" customHeight="1" x14ac:dyDescent="0.3">
      <c r="B2" s="77" t="s">
        <v>246</v>
      </c>
      <c r="C2" s="77"/>
    </row>
    <row r="3" spans="2:3" ht="25.5" customHeight="1" x14ac:dyDescent="0.3">
      <c r="B3" s="93" t="s">
        <v>244</v>
      </c>
      <c r="C3" s="93"/>
    </row>
    <row r="5" spans="2:3" ht="15.6" x14ac:dyDescent="0.3">
      <c r="B5" s="51" t="s">
        <v>176</v>
      </c>
      <c r="C5" s="51" t="s">
        <v>177</v>
      </c>
    </row>
    <row r="6" spans="2:3" ht="46.2" customHeight="1" x14ac:dyDescent="0.3">
      <c r="B6" s="71" t="s">
        <v>178</v>
      </c>
      <c r="C6" s="72" t="s">
        <v>179</v>
      </c>
    </row>
    <row r="7" spans="2:3" ht="36.6" customHeight="1" x14ac:dyDescent="0.3">
      <c r="B7" s="71" t="s">
        <v>180</v>
      </c>
      <c r="C7" s="72" t="s">
        <v>181</v>
      </c>
    </row>
    <row r="8" spans="2:3" ht="64.8" customHeight="1" x14ac:dyDescent="0.3">
      <c r="B8" s="71" t="s">
        <v>182</v>
      </c>
      <c r="C8" s="72" t="s">
        <v>254</v>
      </c>
    </row>
    <row r="9" spans="2:3" ht="74.400000000000006" customHeight="1" x14ac:dyDescent="0.3">
      <c r="B9" s="71" t="s">
        <v>183</v>
      </c>
      <c r="C9" s="72" t="s">
        <v>247</v>
      </c>
    </row>
    <row r="10" spans="2:3" ht="58.8" customHeight="1" x14ac:dyDescent="0.3">
      <c r="B10" s="71" t="s">
        <v>184</v>
      </c>
      <c r="C10" s="72" t="s">
        <v>185</v>
      </c>
    </row>
    <row r="11" spans="2:3" ht="65.400000000000006" customHeight="1" x14ac:dyDescent="0.3">
      <c r="B11" s="71" t="s">
        <v>186</v>
      </c>
      <c r="C11" s="72" t="s">
        <v>187</v>
      </c>
    </row>
    <row r="12" spans="2:3" ht="42.6" customHeight="1" x14ac:dyDescent="0.3">
      <c r="B12" s="71" t="s">
        <v>170</v>
      </c>
      <c r="C12" s="72" t="s">
        <v>188</v>
      </c>
    </row>
    <row r="13" spans="2:3" ht="34.200000000000003" customHeight="1" x14ac:dyDescent="0.3">
      <c r="B13" s="71" t="s">
        <v>189</v>
      </c>
      <c r="C13" s="72" t="s">
        <v>190</v>
      </c>
    </row>
    <row r="14" spans="2:3" ht="36.6" customHeight="1" x14ac:dyDescent="0.3">
      <c r="B14" s="71" t="s">
        <v>144</v>
      </c>
      <c r="C14" s="72" t="s">
        <v>191</v>
      </c>
    </row>
    <row r="15" spans="2:3" ht="33.6" customHeight="1" x14ac:dyDescent="0.3">
      <c r="B15" s="71" t="s">
        <v>192</v>
      </c>
      <c r="C15" s="72" t="s">
        <v>193</v>
      </c>
    </row>
    <row r="16" spans="2:3" ht="36.6" customHeight="1" x14ac:dyDescent="0.3">
      <c r="B16" s="71" t="s">
        <v>194</v>
      </c>
      <c r="C16" s="72" t="s">
        <v>195</v>
      </c>
    </row>
    <row r="17" spans="2:3" ht="45" customHeight="1" x14ac:dyDescent="0.3">
      <c r="B17" s="71" t="s">
        <v>196</v>
      </c>
      <c r="C17" s="72" t="s">
        <v>197</v>
      </c>
    </row>
    <row r="18" spans="2:3" ht="60" customHeight="1" x14ac:dyDescent="0.3">
      <c r="B18" s="71" t="s">
        <v>198</v>
      </c>
      <c r="C18" s="72" t="s">
        <v>199</v>
      </c>
    </row>
    <row r="19" spans="2:3" ht="36.6" customHeight="1" x14ac:dyDescent="0.3">
      <c r="B19" s="52"/>
      <c r="C19" s="70"/>
    </row>
  </sheetData>
  <mergeCells count="2">
    <mergeCell ref="B2:C2"/>
    <mergeCell ref="B3:C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Income Statement</vt:lpstr>
      <vt:lpstr>Balance Sheet</vt:lpstr>
      <vt:lpstr>Cash Flow Statement</vt:lpstr>
      <vt:lpstr>Common Size Analysis</vt:lpstr>
      <vt:lpstr>Comparative Analysis</vt:lpstr>
      <vt:lpstr>Ratio Analysis</vt:lpstr>
      <vt:lpstr>Trend Analysis</vt:lpstr>
      <vt:lpstr>Key Indicators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Yash Mittal</cp:lastModifiedBy>
  <cp:revision>2</cp:revision>
  <cp:lastPrinted>2026-08-08T12:06:42Z</cp:lastPrinted>
  <dcterms:created xsi:type="dcterms:W3CDTF">2026-08-07T12:33:25Z</dcterms:created>
  <dcterms:modified xsi:type="dcterms:W3CDTF">2026-09-27T17:33:26Z</dcterms:modified>
  <dc:language>en-US</dc:language>
</cp:coreProperties>
</file>